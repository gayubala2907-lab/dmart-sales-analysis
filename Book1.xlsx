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Dmart_sales_analysis\"/>
    </mc:Choice>
  </mc:AlternateContent>
  <xr:revisionPtr revIDLastSave="0" documentId="13_ncr:1_{9871EFBD-4F02-4F00-81CB-CDFEEF733F3F}" xr6:coauthVersionLast="47" xr6:coauthVersionMax="47" xr10:uidLastSave="{00000000-0000-0000-0000-000000000000}"/>
  <bookViews>
    <workbookView xWindow="-108" yWindow="-108" windowWidth="23256" windowHeight="12456" activeTab="3" xr2:uid="{5605ABE3-596F-461D-BB5E-9FB002AB002D}"/>
  </bookViews>
  <sheets>
    <sheet name="Sheet1" sheetId="1" r:id="rId1"/>
    <sheet name="Sheet2" sheetId="2" r:id="rId2"/>
    <sheet name="Sheet5" sheetId="5" r:id="rId3"/>
    <sheet name="Sheet3" sheetId="3" r:id="rId4"/>
    <sheet name="Sheet4" sheetId="4" r:id="rId5"/>
  </sheets>
  <definedNames>
    <definedName name="SALES_2025">Sheet5!$B$2:$B$10</definedName>
    <definedName name="SALES_2026">Sheet5!$C$2:$C$10</definedName>
    <definedName name="SALES_ID">Sheet5!$K$5:$K$10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5" l="1"/>
  <c r="F10" i="5"/>
  <c r="A7" i="4"/>
  <c r="C5" i="4"/>
  <c r="D3" i="4"/>
  <c r="G2" i="4"/>
  <c r="J3" i="3"/>
  <c r="J4" i="3"/>
  <c r="J5" i="3"/>
  <c r="J6" i="3"/>
  <c r="J2" i="3"/>
  <c r="I6" i="3"/>
  <c r="I3" i="3"/>
  <c r="I4" i="3"/>
  <c r="I5" i="3"/>
  <c r="I2" i="3"/>
  <c r="G3" i="3"/>
  <c r="G4" i="3"/>
  <c r="G5" i="3"/>
  <c r="G6" i="3"/>
  <c r="G2" i="3"/>
  <c r="H3" i="3"/>
  <c r="H4" i="3"/>
  <c r="H5" i="3"/>
  <c r="H6" i="3"/>
  <c r="H2" i="3"/>
  <c r="F3" i="3"/>
  <c r="F4" i="3"/>
  <c r="F5" i="3"/>
  <c r="F6" i="3"/>
  <c r="F2" i="3"/>
  <c r="I3" i="2"/>
  <c r="I4" i="2"/>
  <c r="I5" i="2"/>
  <c r="I6" i="2"/>
  <c r="I7" i="2"/>
  <c r="I8" i="2"/>
  <c r="I9" i="2"/>
  <c r="I10" i="2"/>
  <c r="I2" i="2"/>
  <c r="H10" i="2"/>
  <c r="H9" i="2"/>
  <c r="H8" i="2"/>
  <c r="H7" i="2"/>
  <c r="H6" i="2"/>
  <c r="H5" i="2"/>
  <c r="H4" i="2"/>
  <c r="H3" i="2"/>
  <c r="H2" i="2"/>
  <c r="G3" i="2"/>
  <c r="G4" i="2"/>
  <c r="G5" i="2"/>
  <c r="G6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  <c r="D3" i="2"/>
  <c r="D4" i="2"/>
  <c r="D5" i="2"/>
  <c r="D6" i="2"/>
  <c r="D7" i="2"/>
  <c r="D8" i="2"/>
  <c r="D9" i="2"/>
  <c r="D10" i="2"/>
  <c r="D2" i="2"/>
  <c r="C3" i="2"/>
  <c r="C4" i="2"/>
  <c r="C5" i="2"/>
  <c r="C6" i="2"/>
  <c r="C7" i="2"/>
  <c r="C8" i="2"/>
  <c r="C9" i="2"/>
  <c r="C10" i="2"/>
  <c r="C2" i="2"/>
  <c r="E57" i="1"/>
  <c r="E56" i="1"/>
  <c r="E55" i="1"/>
  <c r="E54" i="1"/>
  <c r="E53" i="1"/>
  <c r="M10" i="1"/>
  <c r="L4" i="1"/>
  <c r="L3" i="1"/>
  <c r="I3" i="1"/>
  <c r="I4" i="1"/>
  <c r="I5" i="1"/>
  <c r="I6" i="1"/>
  <c r="I7" i="1"/>
  <c r="I8" i="1"/>
  <c r="I9" i="1"/>
  <c r="I10" i="1"/>
  <c r="I2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D10" i="1"/>
  <c r="D3" i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<sst xmlns="http://schemas.openxmlformats.org/spreadsheetml/2006/main" count="75" uniqueCount="57">
  <si>
    <t>A</t>
  </si>
  <si>
    <t>B</t>
  </si>
  <si>
    <t>ADDITION</t>
  </si>
  <si>
    <t>SUBTRACTION</t>
  </si>
  <si>
    <t>PRODUCT</t>
  </si>
  <si>
    <t>MULTIPLICATION</t>
  </si>
  <si>
    <t>DIVISION</t>
  </si>
  <si>
    <t>EXPONENTIAL</t>
  </si>
  <si>
    <t>POWER</t>
  </si>
  <si>
    <t>MOD</t>
  </si>
  <si>
    <t>QUOTIENT</t>
  </si>
  <si>
    <t>Natural log of 100 = 4.605</t>
  </si>
  <si>
    <t>Euler= 2.718</t>
  </si>
  <si>
    <t>SQRT</t>
  </si>
  <si>
    <t>Aggregated functions</t>
  </si>
  <si>
    <t>Average</t>
  </si>
  <si>
    <t>Count</t>
  </si>
  <si>
    <t>Min</t>
  </si>
  <si>
    <t>Sum</t>
  </si>
  <si>
    <t>Max</t>
  </si>
  <si>
    <t>RESULT A</t>
  </si>
  <si>
    <t>RESULT B</t>
  </si>
  <si>
    <t>ELIGIBILITY</t>
  </si>
  <si>
    <t>AND</t>
  </si>
  <si>
    <t>OR</t>
  </si>
  <si>
    <t>NOT(A)</t>
  </si>
  <si>
    <t>NOT(B)</t>
  </si>
  <si>
    <t>0=FALSE</t>
  </si>
  <si>
    <t>1=TRUE</t>
  </si>
  <si>
    <t>ELIGIBILITY OR</t>
  </si>
  <si>
    <t>IF+NOT A</t>
  </si>
  <si>
    <t>IF+ NOT B</t>
  </si>
  <si>
    <t>GRADE</t>
  </si>
  <si>
    <t>SR .NO</t>
  </si>
  <si>
    <t>NAME</t>
  </si>
  <si>
    <t>SALES</t>
  </si>
  <si>
    <t>ATTENDANCE</t>
  </si>
  <si>
    <t>TRAINING DONE</t>
  </si>
  <si>
    <t>Anand</t>
  </si>
  <si>
    <t>yes</t>
  </si>
  <si>
    <t>Babu</t>
  </si>
  <si>
    <t>NO</t>
  </si>
  <si>
    <t>Charles</t>
  </si>
  <si>
    <t>David</t>
  </si>
  <si>
    <t>Eva</t>
  </si>
  <si>
    <t>no</t>
  </si>
  <si>
    <t>TARGET</t>
  </si>
  <si>
    <t>BONUS</t>
  </si>
  <si>
    <t>GENERAL REVIEW</t>
  </si>
  <si>
    <t>PENDING</t>
  </si>
  <si>
    <t>TIER</t>
  </si>
  <si>
    <t>PRICE</t>
  </si>
  <si>
    <t>QUANTITY</t>
  </si>
  <si>
    <t>TOTAL AMOUNT</t>
  </si>
  <si>
    <t>DISCOUNT</t>
  </si>
  <si>
    <t>C</t>
  </si>
  <si>
    <t>SALES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</si>
</sst>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C3DB-4C30-4B37-91F1-160E35301042}">
  <dimension ref="A1:M61"/>
  <sheetViews>
    <sheetView topLeftCell="A8" zoomScale="48" workbookViewId="0">
      <selection activeCell="A29" sqref="A29"/>
    </sheetView>
  </sheetViews>
  <sheetFormatPr defaultRowHeight="14.4" x14ac:dyDescent="0.3"/>
  <cols>
    <col min="1" max="1" width="11.6640625" bestFit="1" customWidth="1"/>
    <col min="4" max="4" width="19.21875" bestFit="1" customWidth="1"/>
    <col min="5" max="5" width="12.6640625" customWidth="1"/>
    <col min="6" max="6" width="18.6640625" customWidth="1"/>
    <col min="7" max="7" width="12" bestFit="1" customWidth="1"/>
    <col min="8" max="8" width="12.5546875" bestFit="1" customWidth="1"/>
    <col min="13" max="13" width="9.77734375" bestFit="1" customWidth="1"/>
  </cols>
  <sheetData>
    <row r="1" spans="1:1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3">
      <c r="A2">
        <v>39</v>
      </c>
      <c r="B2">
        <v>85</v>
      </c>
      <c r="C2">
        <f>A2+B2</f>
        <v>124</v>
      </c>
      <c r="D2">
        <f>A2-B2</f>
        <v>-46</v>
      </c>
      <c r="E2">
        <f>PRODUCT(A2,B2)</f>
        <v>3315</v>
      </c>
      <c r="F2">
        <f>A2*B2</f>
        <v>3315</v>
      </c>
      <c r="G2">
        <f>A2/B2</f>
        <v>0.45882352941176469</v>
      </c>
      <c r="H2">
        <f>A2^2</f>
        <v>1521</v>
      </c>
      <c r="I2">
        <f>POWER(A2,2)</f>
        <v>1521</v>
      </c>
    </row>
    <row r="3" spans="1:13" x14ac:dyDescent="0.3">
      <c r="A3">
        <v>70</v>
      </c>
      <c r="B3">
        <v>98</v>
      </c>
      <c r="C3">
        <f t="shared" ref="C3:C10" si="0">A3+B3</f>
        <v>168</v>
      </c>
      <c r="D3">
        <f t="shared" ref="D3:D9" si="1">A3-B3</f>
        <v>-28</v>
      </c>
      <c r="E3">
        <f t="shared" ref="E3:E10" si="2">PRODUCT(A3,B3)</f>
        <v>6860</v>
      </c>
      <c r="F3">
        <f t="shared" ref="F3:F10" si="3">A3*B3</f>
        <v>6860</v>
      </c>
      <c r="G3">
        <f t="shared" ref="G3:G10" si="4">A3/B3</f>
        <v>0.7142857142857143</v>
      </c>
      <c r="H3">
        <f t="shared" ref="H3:H10" si="5">A3^2</f>
        <v>4900</v>
      </c>
      <c r="I3">
        <f t="shared" ref="I3:I10" si="6">POWER(A3,2)</f>
        <v>4900</v>
      </c>
      <c r="L3">
        <f>MOD(10,5)</f>
        <v>0</v>
      </c>
      <c r="M3" t="s">
        <v>9</v>
      </c>
    </row>
    <row r="4" spans="1:13" x14ac:dyDescent="0.3">
      <c r="A4">
        <v>41</v>
      </c>
      <c r="B4">
        <v>56</v>
      </c>
      <c r="C4">
        <f t="shared" si="0"/>
        <v>97</v>
      </c>
      <c r="D4">
        <f t="shared" si="1"/>
        <v>-15</v>
      </c>
      <c r="E4">
        <f t="shared" si="2"/>
        <v>2296</v>
      </c>
      <c r="F4">
        <f t="shared" si="3"/>
        <v>2296</v>
      </c>
      <c r="G4">
        <f t="shared" si="4"/>
        <v>0.7321428571428571</v>
      </c>
      <c r="H4">
        <f t="shared" si="5"/>
        <v>1681</v>
      </c>
      <c r="I4">
        <f t="shared" si="6"/>
        <v>1681</v>
      </c>
      <c r="L4">
        <f>QUOTIENT(10,4)</f>
        <v>2</v>
      </c>
      <c r="M4" t="s">
        <v>10</v>
      </c>
    </row>
    <row r="5" spans="1:13" x14ac:dyDescent="0.3">
      <c r="A5">
        <v>18</v>
      </c>
      <c r="B5">
        <v>39</v>
      </c>
      <c r="C5">
        <f t="shared" si="0"/>
        <v>57</v>
      </c>
      <c r="D5">
        <f t="shared" si="1"/>
        <v>-21</v>
      </c>
      <c r="E5">
        <f t="shared" si="2"/>
        <v>702</v>
      </c>
      <c r="F5">
        <f t="shared" si="3"/>
        <v>702</v>
      </c>
      <c r="G5">
        <f t="shared" si="4"/>
        <v>0.46153846153846156</v>
      </c>
      <c r="H5">
        <f t="shared" si="5"/>
        <v>324</v>
      </c>
      <c r="I5">
        <f t="shared" si="6"/>
        <v>324</v>
      </c>
    </row>
    <row r="6" spans="1:13" x14ac:dyDescent="0.3">
      <c r="A6">
        <v>23</v>
      </c>
      <c r="B6">
        <v>68</v>
      </c>
      <c r="C6">
        <f t="shared" si="0"/>
        <v>91</v>
      </c>
      <c r="D6">
        <f t="shared" si="1"/>
        <v>-45</v>
      </c>
      <c r="E6">
        <f t="shared" si="2"/>
        <v>1564</v>
      </c>
      <c r="F6">
        <f t="shared" si="3"/>
        <v>1564</v>
      </c>
      <c r="G6">
        <f t="shared" si="4"/>
        <v>0.33823529411764708</v>
      </c>
      <c r="H6">
        <f t="shared" si="5"/>
        <v>529</v>
      </c>
      <c r="I6">
        <f t="shared" si="6"/>
        <v>529</v>
      </c>
      <c r="M6" t="s">
        <v>11</v>
      </c>
    </row>
    <row r="7" spans="1:13" x14ac:dyDescent="0.3">
      <c r="A7">
        <v>43</v>
      </c>
      <c r="B7">
        <v>86</v>
      </c>
      <c r="C7">
        <f t="shared" si="0"/>
        <v>129</v>
      </c>
      <c r="D7">
        <f t="shared" si="1"/>
        <v>-43</v>
      </c>
      <c r="E7">
        <f t="shared" si="2"/>
        <v>3698</v>
      </c>
      <c r="F7">
        <f t="shared" si="3"/>
        <v>3698</v>
      </c>
      <c r="G7">
        <f t="shared" si="4"/>
        <v>0.5</v>
      </c>
      <c r="H7">
        <f t="shared" si="5"/>
        <v>1849</v>
      </c>
      <c r="I7">
        <f t="shared" si="6"/>
        <v>1849</v>
      </c>
      <c r="M7" t="s">
        <v>12</v>
      </c>
    </row>
    <row r="8" spans="1:13" x14ac:dyDescent="0.3">
      <c r="A8">
        <v>67</v>
      </c>
      <c r="B8">
        <v>26</v>
      </c>
      <c r="C8">
        <f t="shared" si="0"/>
        <v>93</v>
      </c>
      <c r="D8">
        <f t="shared" si="1"/>
        <v>41</v>
      </c>
      <c r="E8">
        <f t="shared" si="2"/>
        <v>1742</v>
      </c>
      <c r="F8">
        <f t="shared" si="3"/>
        <v>1742</v>
      </c>
      <c r="G8">
        <f t="shared" si="4"/>
        <v>2.5769230769230771</v>
      </c>
      <c r="H8">
        <f t="shared" si="5"/>
        <v>4489</v>
      </c>
      <c r="I8">
        <f t="shared" si="6"/>
        <v>4489</v>
      </c>
    </row>
    <row r="9" spans="1:13" x14ac:dyDescent="0.3">
      <c r="A9">
        <v>72</v>
      </c>
      <c r="B9">
        <v>61</v>
      </c>
      <c r="C9">
        <f t="shared" si="0"/>
        <v>133</v>
      </c>
      <c r="D9">
        <f t="shared" si="1"/>
        <v>11</v>
      </c>
      <c r="E9">
        <f t="shared" si="2"/>
        <v>4392</v>
      </c>
      <c r="F9">
        <f t="shared" si="3"/>
        <v>4392</v>
      </c>
      <c r="G9">
        <f t="shared" si="4"/>
        <v>1.180327868852459</v>
      </c>
      <c r="H9">
        <f t="shared" si="5"/>
        <v>5184</v>
      </c>
      <c r="I9">
        <f t="shared" si="6"/>
        <v>5184</v>
      </c>
      <c r="M9" t="s">
        <v>13</v>
      </c>
    </row>
    <row r="10" spans="1:13" x14ac:dyDescent="0.3">
      <c r="A10">
        <v>59</v>
      </c>
      <c r="B10">
        <v>16</v>
      </c>
      <c r="C10">
        <f t="shared" si="0"/>
        <v>75</v>
      </c>
      <c r="D10">
        <f>A10-B10</f>
        <v>43</v>
      </c>
      <c r="E10">
        <f t="shared" si="2"/>
        <v>944</v>
      </c>
      <c r="F10">
        <f t="shared" si="3"/>
        <v>944</v>
      </c>
      <c r="G10">
        <f t="shared" si="4"/>
        <v>3.6875</v>
      </c>
      <c r="H10">
        <f t="shared" si="5"/>
        <v>3481</v>
      </c>
      <c r="I10">
        <f t="shared" si="6"/>
        <v>3481</v>
      </c>
      <c r="M10">
        <f>SQRT(B4)</f>
        <v>7.4833147735478827</v>
      </c>
    </row>
    <row r="25" spans="1:1" x14ac:dyDescent="0.3">
      <c r="A25" s="7"/>
    </row>
    <row r="52" spans="1:5" x14ac:dyDescent="0.3">
      <c r="A52" s="1" t="s">
        <v>0</v>
      </c>
      <c r="D52" s="1" t="s">
        <v>14</v>
      </c>
    </row>
    <row r="53" spans="1:5" x14ac:dyDescent="0.3">
      <c r="A53">
        <v>39</v>
      </c>
      <c r="D53" t="s">
        <v>18</v>
      </c>
      <c r="E53" s="3">
        <f>SUM(A53:A61)</f>
        <v>475</v>
      </c>
    </row>
    <row r="54" spans="1:5" x14ac:dyDescent="0.3">
      <c r="A54">
        <v>70</v>
      </c>
      <c r="D54" t="s">
        <v>15</v>
      </c>
      <c r="E54" s="3">
        <f>ROUND(AVERAGE(A53:A61),2)</f>
        <v>52.78</v>
      </c>
    </row>
    <row r="55" spans="1:5" x14ac:dyDescent="0.3">
      <c r="A55">
        <v>41</v>
      </c>
      <c r="D55" t="s">
        <v>16</v>
      </c>
      <c r="E55" s="3">
        <f>COUNT(A53:A61)</f>
        <v>9</v>
      </c>
    </row>
    <row r="56" spans="1:5" x14ac:dyDescent="0.3">
      <c r="A56">
        <v>32</v>
      </c>
      <c r="D56" t="s">
        <v>17</v>
      </c>
      <c r="E56" s="3">
        <f>MIN(A53:A61)</f>
        <v>23</v>
      </c>
    </row>
    <row r="57" spans="1:5" x14ac:dyDescent="0.3">
      <c r="A57">
        <v>23</v>
      </c>
      <c r="D57" t="s">
        <v>19</v>
      </c>
      <c r="E57" s="3">
        <f>MAX(A53:A61)</f>
        <v>82</v>
      </c>
    </row>
    <row r="58" spans="1:5" x14ac:dyDescent="0.3">
      <c r="A58">
        <v>43</v>
      </c>
    </row>
    <row r="59" spans="1:5" x14ac:dyDescent="0.3">
      <c r="A59">
        <v>82</v>
      </c>
    </row>
    <row r="60" spans="1:5" x14ac:dyDescent="0.3">
      <c r="A60">
        <v>72</v>
      </c>
    </row>
    <row r="61" spans="1:5" x14ac:dyDescent="0.3">
      <c r="A61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4F9D-9D48-4862-8465-8D9D00B845AF}">
  <dimension ref="A1:I21"/>
  <sheetViews>
    <sheetView workbookViewId="0">
      <selection activeCell="B10" sqref="A1:B10"/>
    </sheetView>
  </sheetViews>
  <sheetFormatPr defaultRowHeight="14.4" x14ac:dyDescent="0.3"/>
  <cols>
    <col min="5" max="5" width="12.33203125" bestFit="1" customWidth="1"/>
    <col min="6" max="6" width="13.33203125" bestFit="1" customWidth="1"/>
  </cols>
  <sheetData>
    <row r="1" spans="1:9" x14ac:dyDescent="0.3">
      <c r="A1" s="1" t="s">
        <v>0</v>
      </c>
      <c r="B1" s="2" t="s">
        <v>1</v>
      </c>
      <c r="C1" s="1" t="s">
        <v>20</v>
      </c>
      <c r="D1" s="1" t="s">
        <v>21</v>
      </c>
      <c r="E1" s="1" t="s">
        <v>22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3">
      <c r="A2">
        <v>39</v>
      </c>
      <c r="B2">
        <v>85</v>
      </c>
      <c r="C2" t="str">
        <f>IF(A2&gt;=50,"PASS","FAIL")</f>
        <v>FAIL</v>
      </c>
      <c r="D2" t="str">
        <f>IF(B2&gt;=50,"PASS","FAIL")</f>
        <v>PASS</v>
      </c>
      <c r="E2" t="str">
        <f>IF(AND(A2&gt;=50,B2&gt;=50),"ELIGIBLE","NOT ELIGIBLE")</f>
        <v>NOT ELIGIBLE</v>
      </c>
      <c r="F2" t="str">
        <f>IF(OR(A2&gt;=50,B2&gt;=50),"ELIGIBLE","NOT ELIGIBLE")</f>
        <v>ELIGIBLE</v>
      </c>
      <c r="G2" t="str">
        <f>IF(NOT(A2&gt;=50),"YES","NO")</f>
        <v>YES</v>
      </c>
      <c r="H2" t="str">
        <f>IF(NOT(B2&gt;=50),"YES","NO")</f>
        <v>NO</v>
      </c>
      <c r="I2" t="str">
        <f>IF(A2&gt;=90,"GRADE A",IF(A2&gt;=75,"GRADE B",IF(A2&gt;=50,"GRADE C","GRADE F")))</f>
        <v>GRADE F</v>
      </c>
    </row>
    <row r="3" spans="1:9" x14ac:dyDescent="0.3">
      <c r="A3">
        <v>70</v>
      </c>
      <c r="B3">
        <v>98</v>
      </c>
      <c r="C3" t="str">
        <f t="shared" ref="C3:C10" si="0">IF(A3&gt;=50,"PASS","FAIL")</f>
        <v>PASS</v>
      </c>
      <c r="D3" t="str">
        <f t="shared" ref="D3:D10" si="1">IF(B3&gt;=50,"PASS","FAIL")</f>
        <v>PASS</v>
      </c>
      <c r="E3" t="str">
        <f t="shared" ref="E3:E10" si="2">IF(AND(A3&gt;=50,B3&gt;=50),"ELIGIBLE","NOT ELIGIBLE")</f>
        <v>ELIGIBLE</v>
      </c>
      <c r="F3" t="str">
        <f t="shared" ref="F3:F10" si="3">IF(OR(A3&gt;=50,B3&gt;=50),"ELIGIBLE","NOT ELIGIBLE")</f>
        <v>ELIGIBLE</v>
      </c>
      <c r="G3" t="str">
        <f t="shared" ref="G3:G10" si="4">IF(NOT(A3&gt;=50),"YES","NO")</f>
        <v>NO</v>
      </c>
      <c r="H3" t="str">
        <f t="shared" ref="H3:H10" si="5">IF(NOT(B3&gt;=50),"YES","NO")</f>
        <v>NO</v>
      </c>
      <c r="I3" t="str">
        <f t="shared" ref="I3:I10" si="6">IF(A3&gt;=90,"GRADE A",IF(A3&gt;=75,"GRADE B",IF(A3&gt;=50,"GRADE C","GRADE F")))</f>
        <v>GRADE C</v>
      </c>
    </row>
    <row r="4" spans="1:9" x14ac:dyDescent="0.3">
      <c r="A4">
        <v>41</v>
      </c>
      <c r="B4">
        <v>56</v>
      </c>
      <c r="C4" t="str">
        <f t="shared" si="0"/>
        <v>FAIL</v>
      </c>
      <c r="D4" t="str">
        <f t="shared" si="1"/>
        <v>PASS</v>
      </c>
      <c r="E4" t="str">
        <f t="shared" si="2"/>
        <v>NOT ELIGIBLE</v>
      </c>
      <c r="F4" t="str">
        <f t="shared" si="3"/>
        <v>ELIGIBLE</v>
      </c>
      <c r="G4" t="str">
        <f t="shared" si="4"/>
        <v>YES</v>
      </c>
      <c r="H4" t="str">
        <f t="shared" si="5"/>
        <v>NO</v>
      </c>
      <c r="I4" t="str">
        <f t="shared" si="6"/>
        <v>GRADE F</v>
      </c>
    </row>
    <row r="5" spans="1:9" x14ac:dyDescent="0.3">
      <c r="A5">
        <v>18</v>
      </c>
      <c r="B5">
        <v>39</v>
      </c>
      <c r="C5" t="str">
        <f t="shared" si="0"/>
        <v>FAIL</v>
      </c>
      <c r="D5" t="str">
        <f t="shared" si="1"/>
        <v>FAIL</v>
      </c>
      <c r="E5" t="str">
        <f t="shared" si="2"/>
        <v>NOT ELIGIBLE</v>
      </c>
      <c r="F5" t="str">
        <f t="shared" si="3"/>
        <v>NOT ELIGIBLE</v>
      </c>
      <c r="G5" t="str">
        <f t="shared" si="4"/>
        <v>YES</v>
      </c>
      <c r="H5" t="str">
        <f t="shared" si="5"/>
        <v>YES</v>
      </c>
      <c r="I5" t="str">
        <f t="shared" si="6"/>
        <v>GRADE F</v>
      </c>
    </row>
    <row r="6" spans="1:9" x14ac:dyDescent="0.3">
      <c r="A6">
        <v>23</v>
      </c>
      <c r="B6">
        <v>68</v>
      </c>
      <c r="C6" t="str">
        <f t="shared" si="0"/>
        <v>FAIL</v>
      </c>
      <c r="D6" t="str">
        <f t="shared" si="1"/>
        <v>PASS</v>
      </c>
      <c r="E6" t="str">
        <f t="shared" si="2"/>
        <v>NOT ELIGIBLE</v>
      </c>
      <c r="F6" t="str">
        <f t="shared" si="3"/>
        <v>ELIGIBLE</v>
      </c>
      <c r="G6" t="str">
        <f t="shared" si="4"/>
        <v>YES</v>
      </c>
      <c r="H6" t="str">
        <f t="shared" si="5"/>
        <v>NO</v>
      </c>
      <c r="I6" t="str">
        <f t="shared" si="6"/>
        <v>GRADE F</v>
      </c>
    </row>
    <row r="7" spans="1:9" x14ac:dyDescent="0.3">
      <c r="A7">
        <v>43</v>
      </c>
      <c r="B7">
        <v>86</v>
      </c>
      <c r="C7" t="str">
        <f t="shared" si="0"/>
        <v>FAIL</v>
      </c>
      <c r="D7" t="str">
        <f t="shared" si="1"/>
        <v>PASS</v>
      </c>
      <c r="E7" t="str">
        <f t="shared" si="2"/>
        <v>NOT ELIGIBLE</v>
      </c>
      <c r="F7" t="str">
        <f t="shared" si="3"/>
        <v>ELIGIBLE</v>
      </c>
      <c r="G7" t="str">
        <f t="shared" si="4"/>
        <v>YES</v>
      </c>
      <c r="H7" t="str">
        <f t="shared" si="5"/>
        <v>NO</v>
      </c>
      <c r="I7" t="str">
        <f t="shared" si="6"/>
        <v>GRADE F</v>
      </c>
    </row>
    <row r="8" spans="1:9" x14ac:dyDescent="0.3">
      <c r="A8">
        <v>67</v>
      </c>
      <c r="B8">
        <v>26</v>
      </c>
      <c r="C8" t="str">
        <f t="shared" si="0"/>
        <v>PASS</v>
      </c>
      <c r="D8" t="str">
        <f t="shared" si="1"/>
        <v>FAIL</v>
      </c>
      <c r="E8" t="str">
        <f t="shared" si="2"/>
        <v>NOT ELIGIBLE</v>
      </c>
      <c r="F8" t="str">
        <f t="shared" si="3"/>
        <v>ELIGIBLE</v>
      </c>
      <c r="G8" t="str">
        <f t="shared" si="4"/>
        <v>NO</v>
      </c>
      <c r="H8" t="str">
        <f t="shared" si="5"/>
        <v>YES</v>
      </c>
      <c r="I8" t="str">
        <f t="shared" si="6"/>
        <v>GRADE C</v>
      </c>
    </row>
    <row r="9" spans="1:9" x14ac:dyDescent="0.3">
      <c r="A9">
        <v>72</v>
      </c>
      <c r="B9">
        <v>61</v>
      </c>
      <c r="C9" t="str">
        <f t="shared" si="0"/>
        <v>PASS</v>
      </c>
      <c r="D9" t="str">
        <f t="shared" si="1"/>
        <v>PASS</v>
      </c>
      <c r="E9" t="str">
        <f t="shared" si="2"/>
        <v>ELIGIBLE</v>
      </c>
      <c r="F9" t="str">
        <f t="shared" si="3"/>
        <v>ELIGIBLE</v>
      </c>
      <c r="G9" t="str">
        <f t="shared" si="4"/>
        <v>NO</v>
      </c>
      <c r="H9" t="str">
        <f t="shared" si="5"/>
        <v>NO</v>
      </c>
      <c r="I9" t="str">
        <f t="shared" si="6"/>
        <v>GRADE C</v>
      </c>
    </row>
    <row r="10" spans="1:9" x14ac:dyDescent="0.3">
      <c r="A10">
        <v>59</v>
      </c>
      <c r="B10">
        <v>16</v>
      </c>
      <c r="C10" t="str">
        <f t="shared" si="0"/>
        <v>PASS</v>
      </c>
      <c r="D10" t="str">
        <f t="shared" si="1"/>
        <v>FAIL</v>
      </c>
      <c r="E10" t="str">
        <f t="shared" si="2"/>
        <v>NOT ELIGIBLE</v>
      </c>
      <c r="F10" t="str">
        <f t="shared" si="3"/>
        <v>ELIGIBLE</v>
      </c>
      <c r="G10" t="str">
        <f t="shared" si="4"/>
        <v>NO</v>
      </c>
      <c r="H10" t="str">
        <f t="shared" si="5"/>
        <v>YES</v>
      </c>
      <c r="I10" t="str">
        <f t="shared" si="6"/>
        <v>GRADE C</v>
      </c>
    </row>
    <row r="14" spans="1:9" x14ac:dyDescent="0.3">
      <c r="A14" t="s">
        <v>0</v>
      </c>
      <c r="B14" t="s">
        <v>1</v>
      </c>
      <c r="D14" s="5" t="s">
        <v>0</v>
      </c>
      <c r="E14" s="5" t="s">
        <v>1</v>
      </c>
      <c r="F14" s="5" t="s">
        <v>23</v>
      </c>
      <c r="G14" s="5" t="s">
        <v>24</v>
      </c>
      <c r="H14" s="5" t="s">
        <v>25</v>
      </c>
      <c r="I14" s="5" t="s">
        <v>26</v>
      </c>
    </row>
    <row r="15" spans="1:9" x14ac:dyDescent="0.3">
      <c r="A15" t="b">
        <v>0</v>
      </c>
      <c r="B15" t="b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1</v>
      </c>
    </row>
    <row r="16" spans="1:9" x14ac:dyDescent="0.3">
      <c r="A16" t="b">
        <v>0</v>
      </c>
      <c r="B16" t="b">
        <v>1</v>
      </c>
      <c r="D16" s="4">
        <v>0</v>
      </c>
      <c r="E16" s="4">
        <v>1</v>
      </c>
      <c r="F16" s="4">
        <v>0</v>
      </c>
      <c r="G16" s="4">
        <v>1</v>
      </c>
      <c r="H16" s="4">
        <v>1</v>
      </c>
      <c r="I16" s="4">
        <v>0</v>
      </c>
    </row>
    <row r="17" spans="1:9" x14ac:dyDescent="0.3">
      <c r="A17" t="b">
        <v>1</v>
      </c>
      <c r="B17" t="b">
        <v>0</v>
      </c>
      <c r="D17" s="4">
        <v>1</v>
      </c>
      <c r="E17" s="4">
        <v>0</v>
      </c>
      <c r="F17" s="4">
        <v>0</v>
      </c>
      <c r="G17" s="4">
        <v>1</v>
      </c>
      <c r="H17" s="4">
        <v>0</v>
      </c>
      <c r="I17" s="4">
        <v>1</v>
      </c>
    </row>
    <row r="18" spans="1:9" x14ac:dyDescent="0.3">
      <c r="A18" t="b">
        <v>1</v>
      </c>
      <c r="B18" t="b">
        <v>1</v>
      </c>
      <c r="D18" s="4">
        <v>1</v>
      </c>
      <c r="E18" s="4">
        <v>1</v>
      </c>
      <c r="F18" s="4">
        <v>1</v>
      </c>
      <c r="G18" s="4">
        <v>1</v>
      </c>
      <c r="H18" s="4">
        <v>0</v>
      </c>
      <c r="I18" s="4">
        <v>0</v>
      </c>
    </row>
    <row r="20" spans="1:9" x14ac:dyDescent="0.3">
      <c r="D20" t="s">
        <v>27</v>
      </c>
    </row>
    <row r="21" spans="1:9" x14ac:dyDescent="0.3">
      <c r="D2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AF3C-E9E8-4A61-9B47-F5464826331F}">
  <dimension ref="A1:M10"/>
  <sheetViews>
    <sheetView zoomScale="67" workbookViewId="0">
      <selection activeCell="N10" sqref="N10"/>
    </sheetView>
  </sheetViews>
  <sheetFormatPr defaultRowHeight="14.4" x14ac:dyDescent="0.3"/>
  <cols>
    <col min="5" max="5" width="10.21875" bestFit="1" customWidth="1"/>
  </cols>
  <sheetData>
    <row r="1" spans="1:13" x14ac:dyDescent="0.3">
      <c r="A1" s="1" t="s">
        <v>4</v>
      </c>
      <c r="B1" s="1">
        <v>2025</v>
      </c>
      <c r="C1" s="2">
        <v>2026</v>
      </c>
    </row>
    <row r="2" spans="1:13" x14ac:dyDescent="0.3">
      <c r="A2" t="s">
        <v>0</v>
      </c>
      <c r="B2">
        <v>39</v>
      </c>
      <c r="C2">
        <v>85</v>
      </c>
    </row>
    <row r="3" spans="1:13" x14ac:dyDescent="0.3">
      <c r="A3" t="s">
        <v>1</v>
      </c>
      <c r="B3">
        <v>70</v>
      </c>
      <c r="C3">
        <v>98</v>
      </c>
    </row>
    <row r="4" spans="1:13" x14ac:dyDescent="0.3">
      <c r="A4" t="s">
        <v>55</v>
      </c>
      <c r="B4">
        <v>41</v>
      </c>
      <c r="C4">
        <v>56</v>
      </c>
    </row>
    <row r="5" spans="1:13" x14ac:dyDescent="0.3">
      <c r="A5" t="s">
        <v>0</v>
      </c>
      <c r="B5">
        <v>18</v>
      </c>
      <c r="C5">
        <v>39</v>
      </c>
      <c r="K5">
        <v>1</v>
      </c>
    </row>
    <row r="6" spans="1:13" x14ac:dyDescent="0.3">
      <c r="A6" t="s">
        <v>1</v>
      </c>
      <c r="B6">
        <v>23</v>
      </c>
      <c r="C6">
        <v>68</v>
      </c>
      <c r="K6">
        <v>2</v>
      </c>
    </row>
    <row r="7" spans="1:13" x14ac:dyDescent="0.3">
      <c r="A7" t="s">
        <v>55</v>
      </c>
      <c r="B7">
        <v>43</v>
      </c>
      <c r="C7">
        <v>86</v>
      </c>
      <c r="K7">
        <v>3</v>
      </c>
    </row>
    <row r="8" spans="1:13" x14ac:dyDescent="0.3">
      <c r="A8" t="s">
        <v>0</v>
      </c>
      <c r="B8">
        <v>67</v>
      </c>
      <c r="C8">
        <v>26</v>
      </c>
      <c r="K8">
        <v>4</v>
      </c>
    </row>
    <row r="9" spans="1:13" x14ac:dyDescent="0.3">
      <c r="A9" t="s">
        <v>1</v>
      </c>
      <c r="B9">
        <v>72</v>
      </c>
      <c r="C9">
        <v>61</v>
      </c>
      <c r="K9">
        <v>5</v>
      </c>
    </row>
    <row r="10" spans="1:13" x14ac:dyDescent="0.3">
      <c r="A10" t="s">
        <v>55</v>
      </c>
      <c r="B10">
        <v>59</v>
      </c>
      <c r="C10">
        <v>16</v>
      </c>
      <c r="E10" t="s">
        <v>56</v>
      </c>
      <c r="F10">
        <f>SUM(SALES_2026)</f>
        <v>535</v>
      </c>
      <c r="K10">
        <v>6</v>
      </c>
      <c r="M10">
        <f>SUM(SALES_ID)</f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F010-DED3-45D2-A132-931D2E30C71A}">
  <dimension ref="A1:J19"/>
  <sheetViews>
    <sheetView tabSelected="1" workbookViewId="0">
      <selection activeCell="H2" sqref="H2"/>
    </sheetView>
  </sheetViews>
  <sheetFormatPr defaultRowHeight="14.4" x14ac:dyDescent="0.3"/>
  <cols>
    <col min="4" max="4" width="12.44140625" bestFit="1" customWidth="1"/>
    <col min="5" max="5" width="14.77734375" bestFit="1" customWidth="1"/>
    <col min="6" max="6" width="14.21875" bestFit="1" customWidth="1"/>
    <col min="8" max="8" width="16" bestFit="1" customWidth="1"/>
    <col min="9" max="9" width="11.21875" bestFit="1" customWidth="1"/>
    <col min="10" max="10" width="19" bestFit="1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6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x14ac:dyDescent="0.3">
      <c r="A2" s="3">
        <v>1</v>
      </c>
      <c r="B2" t="s">
        <v>38</v>
      </c>
      <c r="C2">
        <v>12000</v>
      </c>
      <c r="D2">
        <v>0.95</v>
      </c>
      <c r="E2" t="s">
        <v>39</v>
      </c>
      <c r="F2" t="str">
        <f>IF(C2&gt;=10000,"MEET TARGET","MISSED TARGET")</f>
        <v>MEET TARGET</v>
      </c>
      <c r="G2" t="str">
        <f>IF(AND(C2&gt;=10000,E2="yes"),"ELIGIBLE","NOT")</f>
        <v>ELIGIBLE</v>
      </c>
      <c r="H2" t="str">
        <f>IF(OR(C2&lt;9000,D2&lt;0.9),"YES","NO")</f>
        <v>NO</v>
      </c>
      <c r="I2" t="str">
        <f>IF(NOT(E2="YES"),"PENDING","COMPLETED")</f>
        <v>COMPLETED</v>
      </c>
      <c r="J2" t="str">
        <f>IF(C2&gt;=12000,"ELITE",IF(C2&gt;=8000,"STANDARD",IF(C2&lt;8000,"NEED IMPROVEMENT")))</f>
        <v>ELITE</v>
      </c>
    </row>
    <row r="3" spans="1:10" x14ac:dyDescent="0.3">
      <c r="A3" s="3">
        <v>2</v>
      </c>
      <c r="B3" t="s">
        <v>40</v>
      </c>
      <c r="C3">
        <v>8000</v>
      </c>
      <c r="D3">
        <v>0.88</v>
      </c>
      <c r="E3" t="s">
        <v>41</v>
      </c>
      <c r="F3" t="str">
        <f t="shared" ref="F3:F6" si="0">IF(C3&gt;=10000,"MEET TARGET","MISSED TARGET")</f>
        <v>MISSED TARGET</v>
      </c>
      <c r="G3" t="str">
        <f t="shared" ref="G3:G6" si="1">IF(AND(C3&gt;=10000,E3="yes"),"ELIGIBLE","NOT")</f>
        <v>NOT</v>
      </c>
      <c r="H3" t="str">
        <f t="shared" ref="H3:H6" si="2">IF(OR(C3&lt;9000,D3&lt;0.9),"YES","NO")</f>
        <v>YES</v>
      </c>
      <c r="I3" t="str">
        <f t="shared" ref="I3:I5" si="3">IF(NOT(E3="YES"),"PENDING","COMPLETED")</f>
        <v>PENDING</v>
      </c>
      <c r="J3" t="str">
        <f t="shared" ref="J3:J6" si="4">IF(C3&gt;=12000,"ELITE",IF(C3&gt;=8000,"STANDARD",IF(C3&lt;8000,"NEED IMPROVEMENT")))</f>
        <v>STANDARD</v>
      </c>
    </row>
    <row r="4" spans="1:10" x14ac:dyDescent="0.3">
      <c r="A4" s="3">
        <v>3</v>
      </c>
      <c r="B4" t="s">
        <v>42</v>
      </c>
      <c r="C4">
        <v>15000</v>
      </c>
      <c r="D4">
        <v>0.75</v>
      </c>
      <c r="E4" t="s">
        <v>39</v>
      </c>
      <c r="F4" t="str">
        <f t="shared" si="0"/>
        <v>MEET TARGET</v>
      </c>
      <c r="G4" t="str">
        <f t="shared" si="1"/>
        <v>ELIGIBLE</v>
      </c>
      <c r="H4" t="str">
        <f t="shared" si="2"/>
        <v>YES</v>
      </c>
      <c r="I4" t="str">
        <f t="shared" si="3"/>
        <v>COMPLETED</v>
      </c>
      <c r="J4" t="str">
        <f t="shared" si="4"/>
        <v>ELITE</v>
      </c>
    </row>
    <row r="5" spans="1:10" x14ac:dyDescent="0.3">
      <c r="A5" s="3">
        <v>4</v>
      </c>
      <c r="B5" t="s">
        <v>43</v>
      </c>
      <c r="C5">
        <v>5000</v>
      </c>
      <c r="D5">
        <v>0.92</v>
      </c>
      <c r="E5" t="s">
        <v>39</v>
      </c>
      <c r="F5" t="str">
        <f t="shared" si="0"/>
        <v>MISSED TARGET</v>
      </c>
      <c r="G5" t="str">
        <f t="shared" si="1"/>
        <v>NOT</v>
      </c>
      <c r="H5" t="str">
        <f t="shared" si="2"/>
        <v>YES</v>
      </c>
      <c r="I5" t="str">
        <f t="shared" si="3"/>
        <v>COMPLETED</v>
      </c>
      <c r="J5" t="str">
        <f t="shared" si="4"/>
        <v>NEED IMPROVEMENT</v>
      </c>
    </row>
    <row r="6" spans="1:10" x14ac:dyDescent="0.3">
      <c r="A6" s="3">
        <v>5</v>
      </c>
      <c r="B6" t="s">
        <v>44</v>
      </c>
      <c r="C6">
        <v>9500</v>
      </c>
      <c r="D6">
        <v>0.91</v>
      </c>
      <c r="E6" t="s">
        <v>45</v>
      </c>
      <c r="F6" t="str">
        <f t="shared" si="0"/>
        <v>MISSED TARGET</v>
      </c>
      <c r="G6" t="str">
        <f t="shared" si="1"/>
        <v>NOT</v>
      </c>
      <c r="H6" t="str">
        <f t="shared" si="2"/>
        <v>NO</v>
      </c>
      <c r="I6" t="str">
        <f>IF(NOT(E6="YES"),"PENDING","COMPLETED")</f>
        <v>PENDING</v>
      </c>
      <c r="J6" t="str">
        <f t="shared" si="4"/>
        <v>STANDARD</v>
      </c>
    </row>
    <row r="7" spans="1:10" x14ac:dyDescent="0.3">
      <c r="A7" s="3"/>
    </row>
    <row r="8" spans="1:10" x14ac:dyDescent="0.3">
      <c r="A8" s="3"/>
    </row>
    <row r="9" spans="1:10" x14ac:dyDescent="0.3">
      <c r="A9" s="3"/>
    </row>
    <row r="10" spans="1:10" x14ac:dyDescent="0.3">
      <c r="A10" s="3"/>
    </row>
    <row r="11" spans="1:10" x14ac:dyDescent="0.3">
      <c r="A11" s="3"/>
    </row>
    <row r="12" spans="1:10" x14ac:dyDescent="0.3">
      <c r="A12" s="3"/>
    </row>
    <row r="13" spans="1:10" x14ac:dyDescent="0.3">
      <c r="A13" s="3"/>
    </row>
    <row r="14" spans="1:10" x14ac:dyDescent="0.3">
      <c r="A14" s="3"/>
    </row>
    <row r="15" spans="1:10" x14ac:dyDescent="0.3">
      <c r="A15" s="3"/>
    </row>
    <row r="16" spans="1:10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469F-FBB3-4F0E-A852-A8C4944018FB}">
  <dimension ref="A1:G7"/>
  <sheetViews>
    <sheetView zoomScale="108" workbookViewId="0">
      <selection activeCell="D3" sqref="D3"/>
    </sheetView>
  </sheetViews>
  <sheetFormatPr defaultRowHeight="14.4" x14ac:dyDescent="0.3"/>
  <cols>
    <col min="2" max="2" width="9.77734375" bestFit="1" customWidth="1"/>
    <col min="4" max="4" width="15" bestFit="1" customWidth="1"/>
    <col min="6" max="6" width="9.88671875" bestFit="1" customWidth="1"/>
  </cols>
  <sheetData>
    <row r="1" spans="1:7" x14ac:dyDescent="0.3">
      <c r="A1" s="1" t="s">
        <v>51</v>
      </c>
      <c r="B1" s="1" t="s">
        <v>52</v>
      </c>
      <c r="D1" s="1" t="s">
        <v>53</v>
      </c>
      <c r="F1" s="1" t="s">
        <v>54</v>
      </c>
    </row>
    <row r="2" spans="1:7" x14ac:dyDescent="0.3">
      <c r="A2">
        <v>1000</v>
      </c>
      <c r="B2">
        <v>12</v>
      </c>
      <c r="F2">
        <v>0.1</v>
      </c>
      <c r="G2">
        <f>D2*F2</f>
        <v>0</v>
      </c>
    </row>
    <row r="3" spans="1:7" x14ac:dyDescent="0.3">
      <c r="D3">
        <f>A2*B2</f>
        <v>12000</v>
      </c>
    </row>
    <row r="5" spans="1:7" x14ac:dyDescent="0.3">
      <c r="C5">
        <f>A2+100</f>
        <v>1100</v>
      </c>
    </row>
    <row r="7" spans="1:7" x14ac:dyDescent="0.3">
      <c r="A7">
        <f>A2*0.1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Sheet2</vt:lpstr>
      <vt:lpstr>Sheet5</vt:lpstr>
      <vt:lpstr>Sheet3</vt:lpstr>
      <vt:lpstr>Sheet4</vt:lpstr>
      <vt:lpstr>SALES_2025</vt:lpstr>
      <vt:lpstr>SALES_2026</vt:lpstr>
      <vt:lpstr>SALES_ID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2026-10-27T06:17:28Z</dcterms:created>
  <dcterms:modified xsi:type="dcterms:W3CDTF">2026-10-28T10:53:10Z</dcterms:modified>
</cp:coreProperties>
</file>