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Dmart_sales_analysis\"/>
    </mc:Choice>
  </mc:AlternateContent>
  <xr:revisionPtr revIDLastSave="0" documentId="13_ncr:1_{00CD2D1F-4C31-4B8B-BA6B-DD62E7807F32}" xr6:coauthVersionLast="47" xr6:coauthVersionMax="47" xr10:uidLastSave="{00000000-0000-0000-0000-000000000000}"/>
  <bookViews>
    <workbookView xWindow="-108" yWindow="-108" windowWidth="23256" windowHeight="12456" firstSheet="6" activeTab="6" xr2:uid="{5605ABE3-596F-461D-BB5E-9FB002AB002D}"/>
  </bookViews>
  <sheets>
    <sheet name="Sheet1" sheetId="1" r:id="rId1"/>
    <sheet name="Sheet2" sheetId="2" r:id="rId2"/>
    <sheet name="string functions" sheetId="6" r:id="rId3"/>
    <sheet name="DATE FUNCTIONS" sheetId="7" r:id="rId4"/>
    <sheet name="Sheet8" sheetId="8" r:id="rId5"/>
    <sheet name="STATITICAL FUNCTION" sheetId="9" r:id="rId6"/>
    <sheet name="CONDITIONAL FORMATTING" sheetId="10" r:id="rId7"/>
    <sheet name="Sheet5" sheetId="5" r:id="rId8"/>
    <sheet name="Sheet3" sheetId="3" r:id="rId9"/>
    <sheet name="Sheet4" sheetId="4" r:id="rId10"/>
  </sheets>
  <definedNames>
    <definedName name="SALES_2025">Sheet5!$B$2:$B$10</definedName>
    <definedName name="SALES_2026">Sheet5!$C$2:$C$10</definedName>
    <definedName name="SALES_ID">Sheet5!$K$5:$K$10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8" i="9" l="1"/>
  <c r="J27" i="9"/>
  <c r="D27" i="9"/>
  <c r="J25" i="9"/>
  <c r="J20" i="9"/>
  <c r="J21" i="9"/>
  <c r="J22" i="9"/>
  <c r="J23" i="9"/>
  <c r="J24" i="9"/>
  <c r="J19" i="9"/>
  <c r="I20" i="9"/>
  <c r="I21" i="9"/>
  <c r="I22" i="9"/>
  <c r="I23" i="9"/>
  <c r="I24" i="9"/>
  <c r="I25" i="9"/>
  <c r="I19" i="9"/>
  <c r="D23" i="9"/>
  <c r="E21" i="9"/>
  <c r="D21" i="9"/>
  <c r="G19" i="9"/>
  <c r="F19" i="9"/>
  <c r="E19" i="9" s="1"/>
  <c r="E15" i="9"/>
  <c r="D19" i="9"/>
  <c r="D15" i="9"/>
  <c r="D12" i="9"/>
  <c r="K10" i="9"/>
  <c r="I10" i="9"/>
  <c r="K3" i="9"/>
  <c r="K4" i="9"/>
  <c r="K5" i="9"/>
  <c r="K6" i="9"/>
  <c r="K7" i="9"/>
  <c r="K8" i="9"/>
  <c r="K9" i="9"/>
  <c r="K2" i="9"/>
  <c r="I3" i="9"/>
  <c r="I4" i="9"/>
  <c r="I5" i="9"/>
  <c r="I6" i="9"/>
  <c r="I7" i="9"/>
  <c r="I8" i="9"/>
  <c r="I9" i="9"/>
  <c r="I2" i="9"/>
  <c r="D7" i="9" a="1"/>
  <c r="D7" i="9" s="1"/>
  <c r="F4" i="9"/>
  <c r="D6" i="9"/>
  <c r="D4" i="9"/>
  <c r="F2" i="9"/>
  <c r="E2" i="9"/>
  <c r="G2" i="9" s="1"/>
  <c r="D2" i="9"/>
  <c r="C23" i="7"/>
  <c r="C21" i="7"/>
  <c r="C19" i="7"/>
  <c r="C18" i="7"/>
  <c r="C17" i="7"/>
  <c r="F13" i="7"/>
  <c r="F12" i="7"/>
  <c r="C13" i="7"/>
  <c r="C12" i="7"/>
  <c r="C11" i="7"/>
  <c r="F10" i="7"/>
  <c r="C10" i="7"/>
  <c r="F9" i="7"/>
  <c r="F8" i="7"/>
  <c r="F7" i="7"/>
  <c r="C4" i="7"/>
  <c r="C3" i="7"/>
  <c r="C7" i="7" s="1"/>
  <c r="C31" i="6"/>
  <c r="C28" i="6"/>
  <c r="C25" i="6"/>
  <c r="C26" i="6"/>
  <c r="C23" i="6"/>
  <c r="C22" i="6"/>
  <c r="C20" i="6"/>
  <c r="C19" i="6"/>
  <c r="C18" i="6"/>
  <c r="K8" i="6"/>
  <c r="J6" i="6"/>
  <c r="K14" i="6"/>
  <c r="K12" i="6"/>
  <c r="K10" i="6"/>
  <c r="G1" i="6"/>
  <c r="M10" i="5"/>
  <c r="F10" i="5"/>
  <c r="A7" i="4"/>
  <c r="C5" i="4"/>
  <c r="D3" i="4"/>
  <c r="G2" i="4"/>
  <c r="J3" i="3"/>
  <c r="J4" i="3"/>
  <c r="J5" i="3"/>
  <c r="J6" i="3"/>
  <c r="J2" i="3"/>
  <c r="I6" i="3"/>
  <c r="I3" i="3"/>
  <c r="I4" i="3"/>
  <c r="I5" i="3"/>
  <c r="I2" i="3"/>
  <c r="G3" i="3"/>
  <c r="G4" i="3"/>
  <c r="G5" i="3"/>
  <c r="G6" i="3"/>
  <c r="G2" i="3"/>
  <c r="H3" i="3"/>
  <c r="H4" i="3"/>
  <c r="H5" i="3"/>
  <c r="H6" i="3"/>
  <c r="H2" i="3"/>
  <c r="F3" i="3"/>
  <c r="F4" i="3"/>
  <c r="F5" i="3"/>
  <c r="F6" i="3"/>
  <c r="F2" i="3"/>
  <c r="I3" i="2"/>
  <c r="I4" i="2"/>
  <c r="I5" i="2"/>
  <c r="I6" i="2"/>
  <c r="I7" i="2"/>
  <c r="I8" i="2"/>
  <c r="I9" i="2"/>
  <c r="I10" i="2"/>
  <c r="I2" i="2"/>
  <c r="H10" i="2"/>
  <c r="H9" i="2"/>
  <c r="H8" i="2"/>
  <c r="H7" i="2"/>
  <c r="H6" i="2"/>
  <c r="H5" i="2"/>
  <c r="H4" i="2"/>
  <c r="H3" i="2"/>
  <c r="H2" i="2"/>
  <c r="G3" i="2"/>
  <c r="G4" i="2"/>
  <c r="G5" i="2"/>
  <c r="G6" i="2"/>
  <c r="G7" i="2"/>
  <c r="G8" i="2"/>
  <c r="G9" i="2"/>
  <c r="G10" i="2"/>
  <c r="G2" i="2"/>
  <c r="F3" i="2"/>
  <c r="F4" i="2"/>
  <c r="F5" i="2"/>
  <c r="F6" i="2"/>
  <c r="F7" i="2"/>
  <c r="F8" i="2"/>
  <c r="F9" i="2"/>
  <c r="F10" i="2"/>
  <c r="F2" i="2"/>
  <c r="E3" i="2"/>
  <c r="E4" i="2"/>
  <c r="E5" i="2"/>
  <c r="E6" i="2"/>
  <c r="E7" i="2"/>
  <c r="E8" i="2"/>
  <c r="E9" i="2"/>
  <c r="E10" i="2"/>
  <c r="E2" i="2"/>
  <c r="D3" i="2"/>
  <c r="D4" i="2"/>
  <c r="D5" i="2"/>
  <c r="D6" i="2"/>
  <c r="D7" i="2"/>
  <c r="D8" i="2"/>
  <c r="D9" i="2"/>
  <c r="D10" i="2"/>
  <c r="D2" i="2"/>
  <c r="C3" i="2"/>
  <c r="C4" i="2"/>
  <c r="C5" i="2"/>
  <c r="C6" i="2"/>
  <c r="C7" i="2"/>
  <c r="C8" i="2"/>
  <c r="C9" i="2"/>
  <c r="C10" i="2"/>
  <c r="C2" i="2"/>
  <c r="E57" i="1"/>
  <c r="E56" i="1"/>
  <c r="E55" i="1"/>
  <c r="E54" i="1"/>
  <c r="E53" i="1"/>
  <c r="M10" i="1"/>
  <c r="L4" i="1"/>
  <c r="L3" i="1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  <c r="E10" i="1"/>
  <c r="E2" i="1"/>
  <c r="D10" i="1"/>
  <c r="D3" i="1"/>
  <c r="D4" i="1"/>
  <c r="D5" i="1"/>
  <c r="D6" i="1"/>
  <c r="D7" i="1"/>
  <c r="D8" i="1"/>
  <c r="D9" i="1"/>
  <c r="D2" i="1"/>
  <c r="C3" i="1"/>
  <c r="C4" i="1"/>
  <c r="C5" i="1"/>
  <c r="C6" i="1"/>
  <c r="C7" i="1"/>
  <c r="C8" i="1"/>
  <c r="C9" i="1"/>
  <c r="C10" i="1"/>
  <c r="C2" i="1"/>
  <c r="D9" i="9" l="1"/>
  <c r="D8" i="9"/>
  <c r="D10" i="9"/>
  <c r="C9" i="7"/>
  <c r="C8" i="7"/>
</calcChain>
</file>

<file path=xl/sharedStrings.xml><?xml version="1.0" encoding="utf-8"?>
<sst xmlns="http://schemas.openxmlformats.org/spreadsheetml/2006/main" count="222" uniqueCount="185">
  <si>
    <t>A</t>
  </si>
  <si>
    <t>B</t>
  </si>
  <si>
    <t>ADDITION</t>
  </si>
  <si>
    <t>SUBTRACTION</t>
  </si>
  <si>
    <t>PRODUCT</t>
  </si>
  <si>
    <t>MULTIPLICATION</t>
  </si>
  <si>
    <t>DIVISION</t>
  </si>
  <si>
    <t>EXPONENTIAL</t>
  </si>
  <si>
    <t>POWER</t>
  </si>
  <si>
    <t>MOD</t>
  </si>
  <si>
    <t>QUOTIENT</t>
  </si>
  <si>
    <t>Natural log of 100 = 4.605</t>
  </si>
  <si>
    <t>Euler= 2.718</t>
  </si>
  <si>
    <t>SQRT</t>
  </si>
  <si>
    <t>Aggregated functions</t>
  </si>
  <si>
    <t>Average</t>
  </si>
  <si>
    <t>Count</t>
  </si>
  <si>
    <t>Min</t>
  </si>
  <si>
    <t>Sum</t>
  </si>
  <si>
    <t>Max</t>
  </si>
  <si>
    <t>RESULT A</t>
  </si>
  <si>
    <t>RESULT B</t>
  </si>
  <si>
    <t>ELIGIBILITY</t>
  </si>
  <si>
    <t>AND</t>
  </si>
  <si>
    <t>OR</t>
  </si>
  <si>
    <t>NOT(A)</t>
  </si>
  <si>
    <t>NOT(B)</t>
  </si>
  <si>
    <t>0=FALSE</t>
  </si>
  <si>
    <t>1=TRUE</t>
  </si>
  <si>
    <t>ELIGIBILITY OR</t>
  </si>
  <si>
    <t>IF+NOT A</t>
  </si>
  <si>
    <t>IF+ NOT B</t>
  </si>
  <si>
    <t>GRADE</t>
  </si>
  <si>
    <t>SR .NO</t>
  </si>
  <si>
    <t>NAME</t>
  </si>
  <si>
    <t>SALES</t>
  </si>
  <si>
    <t>ATTENDANCE</t>
  </si>
  <si>
    <t>TRAINING DONE</t>
  </si>
  <si>
    <t>Anand</t>
  </si>
  <si>
    <t>yes</t>
  </si>
  <si>
    <t>Babu</t>
  </si>
  <si>
    <t>NO</t>
  </si>
  <si>
    <t>Charles</t>
  </si>
  <si>
    <t>David</t>
  </si>
  <si>
    <t>Eva</t>
  </si>
  <si>
    <t>no</t>
  </si>
  <si>
    <t>TARGET</t>
  </si>
  <si>
    <t>BONUS</t>
  </si>
  <si>
    <t>GENERAL REVIEW</t>
  </si>
  <si>
    <t>PENDING</t>
  </si>
  <si>
    <t>TIER</t>
  </si>
  <si>
    <t>PRICE</t>
  </si>
  <si>
    <t>QUANTITY</t>
  </si>
  <si>
    <t>TOTAL AMOUNT</t>
  </si>
  <si>
    <t>DISCOUNT</t>
  </si>
  <si>
    <t>C</t>
  </si>
  <si>
    <t>SALES 2026</t>
  </si>
  <si>
    <t xml:space="preserve">          mlcRosOft   ExceL       </t>
  </si>
  <si>
    <t>Basic functions in excel :</t>
  </si>
  <si>
    <t>len(text)</t>
  </si>
  <si>
    <t>upper(text)</t>
  </si>
  <si>
    <t>lower(text)</t>
  </si>
  <si>
    <t>proper(text)</t>
  </si>
  <si>
    <t>returns the length of a string including spaces</t>
  </si>
  <si>
    <t xml:space="preserve">trim(text) (both leading and trailing space) </t>
  </si>
  <si>
    <t xml:space="preserve">removes extra spaces except for single spaces between words </t>
  </si>
  <si>
    <t xml:space="preserve">converts text to uppercase </t>
  </si>
  <si>
    <t xml:space="preserve">converts text to lowercase </t>
  </si>
  <si>
    <t>capitalize the first letter of each word</t>
  </si>
  <si>
    <t xml:space="preserve">example </t>
  </si>
  <si>
    <t xml:space="preserve">trim- </t>
  </si>
  <si>
    <t xml:space="preserve">     mocLOhdy ExceLLL     </t>
  </si>
  <si>
    <t>Upper</t>
  </si>
  <si>
    <t>jhhDdcsdnsjcb</t>
  </si>
  <si>
    <t>lower</t>
  </si>
  <si>
    <t>DJHCGDUYSCH</t>
  </si>
  <si>
    <t>PROPER</t>
  </si>
  <si>
    <t>gayathri</t>
  </si>
  <si>
    <t xml:space="preserve">EXAMPLE </t>
  </si>
  <si>
    <t>LEN</t>
  </si>
  <si>
    <t>String extraction functions:</t>
  </si>
  <si>
    <t>left()</t>
  </si>
  <si>
    <t>right()</t>
  </si>
  <si>
    <t>mid()</t>
  </si>
  <si>
    <t>extract specified numbers of character from the start</t>
  </si>
  <si>
    <t>extract specified numbers of character from the end</t>
  </si>
  <si>
    <t xml:space="preserve">extract a substring from the middle </t>
  </si>
  <si>
    <t>find ()</t>
  </si>
  <si>
    <t>find the position of a substing case-sentive</t>
  </si>
  <si>
    <t>Hello WorldW</t>
  </si>
  <si>
    <t>Search()</t>
  </si>
  <si>
    <t>Replace</t>
  </si>
  <si>
    <t>replace(old text,starting no of word,how many letter of word,"replacing word")</t>
  </si>
  <si>
    <t>Substitute</t>
  </si>
  <si>
    <t>hello gayathri</t>
  </si>
  <si>
    <t>sub(select the word cell,"type old word","new word")</t>
  </si>
  <si>
    <t>concate</t>
  </si>
  <si>
    <t>hello</t>
  </si>
  <si>
    <t>hi</t>
  </si>
  <si>
    <t>to add two string (b30,c30)</t>
  </si>
  <si>
    <t xml:space="preserve">GENERATE DATE AND TIME </t>
  </si>
  <si>
    <t>TODAY()</t>
  </si>
  <si>
    <t>NOW()</t>
  </si>
  <si>
    <t>EXTRACT DATE COMPONENTS</t>
  </si>
  <si>
    <t>YEAR()</t>
  </si>
  <si>
    <t>MONTH()</t>
  </si>
  <si>
    <t>DAY()</t>
  </si>
  <si>
    <t>WEEKDAY()</t>
  </si>
  <si>
    <t>WEEKNUM()</t>
  </si>
  <si>
    <t>TEXT()</t>
  </si>
  <si>
    <t>DATEIF</t>
  </si>
  <si>
    <t>YEAR DIFF</t>
  </si>
  <si>
    <t>MNT DIFF</t>
  </si>
  <si>
    <t xml:space="preserve">DAYS </t>
  </si>
  <si>
    <t>EDATE</t>
  </si>
  <si>
    <t>FROM TODAY ADDING 3 MNTHS</t>
  </si>
  <si>
    <t>SR. NO</t>
  </si>
  <si>
    <t>ID</t>
  </si>
  <si>
    <t>John Smith</t>
  </si>
  <si>
    <t>ID-2024-NY-Active</t>
  </si>
  <si>
    <t>Sarah Jenkins</t>
  </si>
  <si>
    <t>ID-2025-CA-Pending</t>
  </si>
  <si>
    <t>Michael Chang</t>
  </si>
  <si>
    <t>FIRST NAME</t>
  </si>
  <si>
    <t>EMAIL</t>
  </si>
  <si>
    <t>ID-2025-TX-Active</t>
  </si>
  <si>
    <t>John</t>
  </si>
  <si>
    <t>Sarah</t>
  </si>
  <si>
    <t>Michael</t>
  </si>
  <si>
    <t>STATE</t>
  </si>
  <si>
    <t>NY</t>
  </si>
  <si>
    <t>CA</t>
  </si>
  <si>
    <t>TX</t>
  </si>
  <si>
    <t>CNTRL+E TO EXTRACT AUTOM</t>
  </si>
  <si>
    <t>s.john@company.com</t>
  </si>
  <si>
    <t>j.sarah@company.com</t>
  </si>
  <si>
    <t>c.michael@company.com</t>
  </si>
  <si>
    <t>FLASH FILL</t>
  </si>
  <si>
    <t>CHENNAI</t>
  </si>
  <si>
    <t>BANGLORE</t>
  </si>
  <si>
    <t>PUNE</t>
  </si>
  <si>
    <t>COIMBATORE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</si>
  <si>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</si>
  <si>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</si>
  <si>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</si>
  <si>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</si>
  <si>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</si>
  <si>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</si>
  <si>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</si>
  <si>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</si>
  <si>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</si>
  <si>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</si>
  <si>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</si>
  <si>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</si>
  <si>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chennai</t>
  </si>
  <si>
    <t>banglore</t>
  </si>
  <si>
    <t>pune</t>
  </si>
  <si>
    <t>coimbatore</t>
  </si>
  <si>
    <t>file-more-option-advance- general-custome list-add yours</t>
  </si>
  <si>
    <t>To custome</t>
  </si>
  <si>
    <t>MEAN</t>
  </si>
  <si>
    <t>MEDIAN</t>
  </si>
  <si>
    <t>FUNC</t>
  </si>
  <si>
    <t>FORMULA</t>
  </si>
  <si>
    <t>MODE</t>
  </si>
  <si>
    <t>(n+1)/2</t>
  </si>
  <si>
    <t>MULTI MODE</t>
  </si>
  <si>
    <t>DEVIATION</t>
  </si>
  <si>
    <t>SQ DEVIATION</t>
  </si>
  <si>
    <t>VARIANCE</t>
  </si>
  <si>
    <t>AVG OF SQ DEV</t>
  </si>
  <si>
    <t>STANDARD DEVIATION</t>
  </si>
  <si>
    <t>take sq r of variance</t>
  </si>
  <si>
    <t>PRODUCT 1</t>
  </si>
  <si>
    <t>PRODUCT 2</t>
  </si>
  <si>
    <t>PRODUCT 4</t>
  </si>
  <si>
    <t>PRODUCT 3</t>
  </si>
  <si>
    <t>PRODUCT 5</t>
  </si>
  <si>
    <t>PRODUCT 6</t>
  </si>
  <si>
    <t>PRODUCT 7</t>
  </si>
  <si>
    <t>highlight cell</t>
  </si>
  <si>
    <t>top/bottom rule</t>
  </si>
  <si>
    <t>data bar</t>
  </si>
  <si>
    <t>color scale</t>
  </si>
  <si>
    <t>icon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</si>
</sst>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14" fontId="0" fillId="0" borderId="0" xfId="0" applyNumberFormat="1"/>
    <xf numFmtId="22" fontId="0" fillId="0" borderId="0" xfId="0" applyNumberFormat="1"/>
    <xf numFmtId="0" fontId="0" fillId="0" borderId="1" xfId="0" applyBorder="1"/>
    <xf numFmtId="0" fontId="1" fillId="3" borderId="1" xfId="0" applyFont="1" applyFill="1" applyBorder="1" applyAlignment="1">
      <alignment horizontal="center"/>
    </xf>
    <xf numFmtId="0" fontId="2" fillId="0" borderId="1" xfId="1" applyBorder="1"/>
    <xf numFmtId="0" fontId="1" fillId="0" borderId="1" xfId="0" applyFont="1" applyBorder="1"/>
  </cellXfs>
  <cellStyles count="2">
    <cellStyle name="Hyperlink" xfId="1" builtinId="8"/>
    <cellStyle name="Normal" xfId="0" builtinId="0"/>
  </cellStyles>
  <dxfs count="81"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7030A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.michael@company.com" TargetMode="External"/><Relationship Id="rId2" Type="http://schemas.openxmlformats.org/officeDocument/2006/relationships/hyperlink" Target="mailto:j.sarah@company.com" TargetMode="External"/><Relationship Id="rId1" Type="http://schemas.openxmlformats.org/officeDocument/2006/relationships/hyperlink" Target="mailto:s.john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AC3DB-4C30-4B37-91F1-160E35301042}">
  <dimension ref="A1:M61"/>
  <sheetViews>
    <sheetView topLeftCell="A8" zoomScale="48" workbookViewId="0">
      <selection activeCell="A29" sqref="A29"/>
    </sheetView>
  </sheetViews>
  <sheetFormatPr defaultRowHeight="14.4" x14ac:dyDescent="0.3"/>
  <cols>
    <col min="1" max="1" width="11.6640625" bestFit="1" customWidth="1"/>
    <col min="4" max="4" width="19.21875" bestFit="1" customWidth="1"/>
    <col min="5" max="5" width="12.6640625" customWidth="1"/>
    <col min="6" max="6" width="18.6640625" customWidth="1"/>
    <col min="7" max="7" width="12" bestFit="1" customWidth="1"/>
    <col min="8" max="8" width="12.5546875" bestFit="1" customWidth="1"/>
    <col min="13" max="13" width="9.77734375" bestFit="1" customWidth="1"/>
  </cols>
  <sheetData>
    <row r="1" spans="1:13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3" x14ac:dyDescent="0.3">
      <c r="A2">
        <v>39</v>
      </c>
      <c r="B2">
        <v>85</v>
      </c>
      <c r="C2">
        <f>A2+B2</f>
        <v>124</v>
      </c>
      <c r="D2">
        <f>A2-B2</f>
        <v>-46</v>
      </c>
      <c r="E2">
        <f>PRODUCT(A2,B2)</f>
        <v>3315</v>
      </c>
      <c r="F2">
        <f>A2*B2</f>
        <v>3315</v>
      </c>
      <c r="G2">
        <f>A2/B2</f>
        <v>0.45882352941176469</v>
      </c>
      <c r="H2">
        <f>A2^2</f>
        <v>1521</v>
      </c>
      <c r="I2">
        <f>POWER(A2,2)</f>
        <v>1521</v>
      </c>
    </row>
    <row r="3" spans="1:13" x14ac:dyDescent="0.3">
      <c r="A3">
        <v>70</v>
      </c>
      <c r="B3">
        <v>98</v>
      </c>
      <c r="C3">
        <f t="shared" ref="C3:C10" si="0">A3+B3</f>
        <v>168</v>
      </c>
      <c r="D3">
        <f t="shared" ref="D3:D9" si="1">A3-B3</f>
        <v>-28</v>
      </c>
      <c r="E3">
        <f t="shared" ref="E3:E10" si="2">PRODUCT(A3,B3)</f>
        <v>6860</v>
      </c>
      <c r="F3">
        <f t="shared" ref="F3:F10" si="3">A3*B3</f>
        <v>6860</v>
      </c>
      <c r="G3">
        <f t="shared" ref="G3:G10" si="4">A3/B3</f>
        <v>0.7142857142857143</v>
      </c>
      <c r="H3">
        <f t="shared" ref="H3:H10" si="5">A3^2</f>
        <v>4900</v>
      </c>
      <c r="I3">
        <f t="shared" ref="I3:I10" si="6">POWER(A3,2)</f>
        <v>4900</v>
      </c>
      <c r="L3">
        <f>MOD(10,5)</f>
        <v>0</v>
      </c>
      <c r="M3" t="s">
        <v>9</v>
      </c>
    </row>
    <row r="4" spans="1:13" x14ac:dyDescent="0.3">
      <c r="A4">
        <v>41</v>
      </c>
      <c r="B4">
        <v>56</v>
      </c>
      <c r="C4">
        <f t="shared" si="0"/>
        <v>97</v>
      </c>
      <c r="D4">
        <f t="shared" si="1"/>
        <v>-15</v>
      </c>
      <c r="E4">
        <f t="shared" si="2"/>
        <v>2296</v>
      </c>
      <c r="F4">
        <f t="shared" si="3"/>
        <v>2296</v>
      </c>
      <c r="G4">
        <f t="shared" si="4"/>
        <v>0.7321428571428571</v>
      </c>
      <c r="H4">
        <f t="shared" si="5"/>
        <v>1681</v>
      </c>
      <c r="I4">
        <f t="shared" si="6"/>
        <v>1681</v>
      </c>
      <c r="L4">
        <f>QUOTIENT(10,4)</f>
        <v>2</v>
      </c>
      <c r="M4" t="s">
        <v>10</v>
      </c>
    </row>
    <row r="5" spans="1:13" x14ac:dyDescent="0.3">
      <c r="A5">
        <v>18</v>
      </c>
      <c r="B5">
        <v>39</v>
      </c>
      <c r="C5">
        <f t="shared" si="0"/>
        <v>57</v>
      </c>
      <c r="D5">
        <f t="shared" si="1"/>
        <v>-21</v>
      </c>
      <c r="E5">
        <f t="shared" si="2"/>
        <v>702</v>
      </c>
      <c r="F5">
        <f t="shared" si="3"/>
        <v>702</v>
      </c>
      <c r="G5">
        <f t="shared" si="4"/>
        <v>0.46153846153846156</v>
      </c>
      <c r="H5">
        <f t="shared" si="5"/>
        <v>324</v>
      </c>
      <c r="I5">
        <f t="shared" si="6"/>
        <v>324</v>
      </c>
    </row>
    <row r="6" spans="1:13" x14ac:dyDescent="0.3">
      <c r="A6">
        <v>23</v>
      </c>
      <c r="B6">
        <v>68</v>
      </c>
      <c r="C6">
        <f t="shared" si="0"/>
        <v>91</v>
      </c>
      <c r="D6">
        <f t="shared" si="1"/>
        <v>-45</v>
      </c>
      <c r="E6">
        <f t="shared" si="2"/>
        <v>1564</v>
      </c>
      <c r="F6">
        <f t="shared" si="3"/>
        <v>1564</v>
      </c>
      <c r="G6">
        <f t="shared" si="4"/>
        <v>0.33823529411764708</v>
      </c>
      <c r="H6">
        <f t="shared" si="5"/>
        <v>529</v>
      </c>
      <c r="I6">
        <f t="shared" si="6"/>
        <v>529</v>
      </c>
      <c r="M6" t="s">
        <v>11</v>
      </c>
    </row>
    <row r="7" spans="1:13" x14ac:dyDescent="0.3">
      <c r="A7">
        <v>43</v>
      </c>
      <c r="B7">
        <v>86</v>
      </c>
      <c r="C7">
        <f t="shared" si="0"/>
        <v>129</v>
      </c>
      <c r="D7">
        <f t="shared" si="1"/>
        <v>-43</v>
      </c>
      <c r="E7">
        <f t="shared" si="2"/>
        <v>3698</v>
      </c>
      <c r="F7">
        <f t="shared" si="3"/>
        <v>3698</v>
      </c>
      <c r="G7">
        <f t="shared" si="4"/>
        <v>0.5</v>
      </c>
      <c r="H7">
        <f t="shared" si="5"/>
        <v>1849</v>
      </c>
      <c r="I7">
        <f t="shared" si="6"/>
        <v>1849</v>
      </c>
      <c r="M7" t="s">
        <v>12</v>
      </c>
    </row>
    <row r="8" spans="1:13" x14ac:dyDescent="0.3">
      <c r="A8">
        <v>67</v>
      </c>
      <c r="B8">
        <v>26</v>
      </c>
      <c r="C8">
        <f t="shared" si="0"/>
        <v>93</v>
      </c>
      <c r="D8">
        <f t="shared" si="1"/>
        <v>41</v>
      </c>
      <c r="E8">
        <f t="shared" si="2"/>
        <v>1742</v>
      </c>
      <c r="F8">
        <f t="shared" si="3"/>
        <v>1742</v>
      </c>
      <c r="G8">
        <f t="shared" si="4"/>
        <v>2.5769230769230771</v>
      </c>
      <c r="H8">
        <f t="shared" si="5"/>
        <v>4489</v>
      </c>
      <c r="I8">
        <f t="shared" si="6"/>
        <v>4489</v>
      </c>
    </row>
    <row r="9" spans="1:13" x14ac:dyDescent="0.3">
      <c r="A9">
        <v>72</v>
      </c>
      <c r="B9">
        <v>61</v>
      </c>
      <c r="C9">
        <f t="shared" si="0"/>
        <v>133</v>
      </c>
      <c r="D9">
        <f t="shared" si="1"/>
        <v>11</v>
      </c>
      <c r="E9">
        <f t="shared" si="2"/>
        <v>4392</v>
      </c>
      <c r="F9">
        <f t="shared" si="3"/>
        <v>4392</v>
      </c>
      <c r="G9">
        <f t="shared" si="4"/>
        <v>1.180327868852459</v>
      </c>
      <c r="H9">
        <f t="shared" si="5"/>
        <v>5184</v>
      </c>
      <c r="I9">
        <f t="shared" si="6"/>
        <v>5184</v>
      </c>
      <c r="M9" t="s">
        <v>13</v>
      </c>
    </row>
    <row r="10" spans="1:13" x14ac:dyDescent="0.3">
      <c r="A10">
        <v>59</v>
      </c>
      <c r="B10">
        <v>16</v>
      </c>
      <c r="C10">
        <f t="shared" si="0"/>
        <v>75</v>
      </c>
      <c r="D10">
        <f>A10-B10</f>
        <v>43</v>
      </c>
      <c r="E10">
        <f t="shared" si="2"/>
        <v>944</v>
      </c>
      <c r="F10">
        <f t="shared" si="3"/>
        <v>944</v>
      </c>
      <c r="G10">
        <f t="shared" si="4"/>
        <v>3.6875</v>
      </c>
      <c r="H10">
        <f t="shared" si="5"/>
        <v>3481</v>
      </c>
      <c r="I10">
        <f t="shared" si="6"/>
        <v>3481</v>
      </c>
      <c r="M10">
        <f>SQRT(B4)</f>
        <v>7.4833147735478827</v>
      </c>
    </row>
    <row r="25" spans="1:1" x14ac:dyDescent="0.3">
      <c r="A25" s="7"/>
    </row>
    <row r="52" spans="1:5" x14ac:dyDescent="0.3">
      <c r="A52" s="1" t="s">
        <v>0</v>
      </c>
      <c r="D52" s="1" t="s">
        <v>14</v>
      </c>
    </row>
    <row r="53" spans="1:5" x14ac:dyDescent="0.3">
      <c r="A53">
        <v>39</v>
      </c>
      <c r="D53" t="s">
        <v>18</v>
      </c>
      <c r="E53" s="3">
        <f>SUM(A53:A61)</f>
        <v>475</v>
      </c>
    </row>
    <row r="54" spans="1:5" x14ac:dyDescent="0.3">
      <c r="A54">
        <v>70</v>
      </c>
      <c r="D54" t="s">
        <v>15</v>
      </c>
      <c r="E54" s="3">
        <f>ROUND(AVERAGE(A53:A61),2)</f>
        <v>52.78</v>
      </c>
    </row>
    <row r="55" spans="1:5" x14ac:dyDescent="0.3">
      <c r="A55">
        <v>41</v>
      </c>
      <c r="D55" t="s">
        <v>16</v>
      </c>
      <c r="E55" s="3">
        <f>COUNT(A53:A61)</f>
        <v>9</v>
      </c>
    </row>
    <row r="56" spans="1:5" x14ac:dyDescent="0.3">
      <c r="A56">
        <v>32</v>
      </c>
      <c r="D56" t="s">
        <v>17</v>
      </c>
      <c r="E56" s="3">
        <f>MIN(A53:A61)</f>
        <v>23</v>
      </c>
    </row>
    <row r="57" spans="1:5" x14ac:dyDescent="0.3">
      <c r="A57">
        <v>23</v>
      </c>
      <c r="D57" t="s">
        <v>19</v>
      </c>
      <c r="E57" s="3">
        <f>MAX(A53:A61)</f>
        <v>82</v>
      </c>
    </row>
    <row r="58" spans="1:5" x14ac:dyDescent="0.3">
      <c r="A58">
        <v>43</v>
      </c>
    </row>
    <row r="59" spans="1:5" x14ac:dyDescent="0.3">
      <c r="A59">
        <v>82</v>
      </c>
    </row>
    <row r="60" spans="1:5" x14ac:dyDescent="0.3">
      <c r="A60">
        <v>72</v>
      </c>
    </row>
    <row r="61" spans="1:5" x14ac:dyDescent="0.3">
      <c r="A61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F4F9D-9D48-4862-8465-8D9D00B845AF}">
  <dimension ref="A1:I21"/>
  <sheetViews>
    <sheetView workbookViewId="0">
      <selection activeCell="B10" sqref="A1:B10"/>
    </sheetView>
  </sheetViews>
  <sheetFormatPr defaultRowHeight="14.4" x14ac:dyDescent="0.3"/>
  <cols>
    <col min="5" max="5" width="12.33203125" bestFit="1" customWidth="1"/>
    <col min="6" max="6" width="13.33203125" bestFit="1" customWidth="1"/>
  </cols>
  <sheetData>
    <row r="1" spans="1:9" x14ac:dyDescent="0.3">
      <c r="A1" s="1" t="s">
        <v>0</v>
      </c>
      <c r="B1" s="2" t="s">
        <v>1</v>
      </c>
      <c r="C1" s="1" t="s">
        <v>20</v>
      </c>
      <c r="D1" s="1" t="s">
        <v>21</v>
      </c>
      <c r="E1" s="1" t="s">
        <v>22</v>
      </c>
      <c r="F1" s="1" t="s">
        <v>29</v>
      </c>
      <c r="G1" s="1" t="s">
        <v>30</v>
      </c>
      <c r="H1" s="1" t="s">
        <v>31</v>
      </c>
      <c r="I1" s="1" t="s">
        <v>32</v>
      </c>
    </row>
    <row r="2" spans="1:9" x14ac:dyDescent="0.3">
      <c r="A2">
        <v>39</v>
      </c>
      <c r="B2">
        <v>85</v>
      </c>
      <c r="C2" t="str">
        <f>IF(A2&gt;=50,"PASS","FAIL")</f>
        <v>FAIL</v>
      </c>
      <c r="D2" t="str">
        <f>IF(B2&gt;=50,"PASS","FAIL")</f>
        <v>PASS</v>
      </c>
      <c r="E2" t="str">
        <f>IF(AND(A2&gt;=50,B2&gt;=50),"ELIGIBLE","NOT ELIGIBLE")</f>
        <v>NOT ELIGIBLE</v>
      </c>
      <c r="F2" t="str">
        <f>IF(OR(A2&gt;=50,B2&gt;=50),"ELIGIBLE","NOT ELIGIBLE")</f>
        <v>ELIGIBLE</v>
      </c>
      <c r="G2" t="str">
        <f>IF(NOT(A2&gt;=50),"YES","NO")</f>
        <v>YES</v>
      </c>
      <c r="H2" t="str">
        <f>IF(NOT(B2&gt;=50),"YES","NO")</f>
        <v>NO</v>
      </c>
      <c r="I2" t="str">
        <f>IF(A2&gt;=90,"GRADE A",IF(A2&gt;=75,"GRADE B",IF(A2&gt;=50,"GRADE C","GRADE F")))</f>
        <v>GRADE F</v>
      </c>
    </row>
    <row r="3" spans="1:9" x14ac:dyDescent="0.3">
      <c r="A3">
        <v>70</v>
      </c>
      <c r="B3">
        <v>98</v>
      </c>
      <c r="C3" t="str">
        <f t="shared" ref="C3:C10" si="0">IF(A3&gt;=50,"PASS","FAIL")</f>
        <v>PASS</v>
      </c>
      <c r="D3" t="str">
        <f t="shared" ref="D3:D10" si="1">IF(B3&gt;=50,"PASS","FAIL")</f>
        <v>PASS</v>
      </c>
      <c r="E3" t="str">
        <f t="shared" ref="E3:E10" si="2">IF(AND(A3&gt;=50,B3&gt;=50),"ELIGIBLE","NOT ELIGIBLE")</f>
        <v>ELIGIBLE</v>
      </c>
      <c r="F3" t="str">
        <f t="shared" ref="F3:F10" si="3">IF(OR(A3&gt;=50,B3&gt;=50),"ELIGIBLE","NOT ELIGIBLE")</f>
        <v>ELIGIBLE</v>
      </c>
      <c r="G3" t="str">
        <f t="shared" ref="G3:G10" si="4">IF(NOT(A3&gt;=50),"YES","NO")</f>
        <v>NO</v>
      </c>
      <c r="H3" t="str">
        <f t="shared" ref="H3:H10" si="5">IF(NOT(B3&gt;=50),"YES","NO")</f>
        <v>NO</v>
      </c>
      <c r="I3" t="str">
        <f t="shared" ref="I3:I10" si="6">IF(A3&gt;=90,"GRADE A",IF(A3&gt;=75,"GRADE B",IF(A3&gt;=50,"GRADE C","GRADE F")))</f>
        <v>GRADE C</v>
      </c>
    </row>
    <row r="4" spans="1:9" x14ac:dyDescent="0.3">
      <c r="A4">
        <v>41</v>
      </c>
      <c r="B4">
        <v>56</v>
      </c>
      <c r="C4" t="str">
        <f t="shared" si="0"/>
        <v>FAIL</v>
      </c>
      <c r="D4" t="str">
        <f t="shared" si="1"/>
        <v>PASS</v>
      </c>
      <c r="E4" t="str">
        <f t="shared" si="2"/>
        <v>NOT ELIGIBLE</v>
      </c>
      <c r="F4" t="str">
        <f t="shared" si="3"/>
        <v>ELIGIBLE</v>
      </c>
      <c r="G4" t="str">
        <f t="shared" si="4"/>
        <v>YES</v>
      </c>
      <c r="H4" t="str">
        <f t="shared" si="5"/>
        <v>NO</v>
      </c>
      <c r="I4" t="str">
        <f t="shared" si="6"/>
        <v>GRADE F</v>
      </c>
    </row>
    <row r="5" spans="1:9" x14ac:dyDescent="0.3">
      <c r="A5">
        <v>18</v>
      </c>
      <c r="B5">
        <v>39</v>
      </c>
      <c r="C5" t="str">
        <f t="shared" si="0"/>
        <v>FAIL</v>
      </c>
      <c r="D5" t="str">
        <f t="shared" si="1"/>
        <v>FAIL</v>
      </c>
      <c r="E5" t="str">
        <f t="shared" si="2"/>
        <v>NOT ELIGIBLE</v>
      </c>
      <c r="F5" t="str">
        <f t="shared" si="3"/>
        <v>NOT ELIGIBLE</v>
      </c>
      <c r="G5" t="str">
        <f t="shared" si="4"/>
        <v>YES</v>
      </c>
      <c r="H5" t="str">
        <f t="shared" si="5"/>
        <v>YES</v>
      </c>
      <c r="I5" t="str">
        <f t="shared" si="6"/>
        <v>GRADE F</v>
      </c>
    </row>
    <row r="6" spans="1:9" x14ac:dyDescent="0.3">
      <c r="A6">
        <v>23</v>
      </c>
      <c r="B6">
        <v>68</v>
      </c>
      <c r="C6" t="str">
        <f t="shared" si="0"/>
        <v>FAIL</v>
      </c>
      <c r="D6" t="str">
        <f t="shared" si="1"/>
        <v>PASS</v>
      </c>
      <c r="E6" t="str">
        <f t="shared" si="2"/>
        <v>NOT ELIGIBLE</v>
      </c>
      <c r="F6" t="str">
        <f t="shared" si="3"/>
        <v>ELIGIBLE</v>
      </c>
      <c r="G6" t="str">
        <f t="shared" si="4"/>
        <v>YES</v>
      </c>
      <c r="H6" t="str">
        <f t="shared" si="5"/>
        <v>NO</v>
      </c>
      <c r="I6" t="str">
        <f t="shared" si="6"/>
        <v>GRADE F</v>
      </c>
    </row>
    <row r="7" spans="1:9" x14ac:dyDescent="0.3">
      <c r="A7">
        <v>43</v>
      </c>
      <c r="B7">
        <v>86</v>
      </c>
      <c r="C7" t="str">
        <f t="shared" si="0"/>
        <v>FAIL</v>
      </c>
      <c r="D7" t="str">
        <f t="shared" si="1"/>
        <v>PASS</v>
      </c>
      <c r="E7" t="str">
        <f t="shared" si="2"/>
        <v>NOT ELIGIBLE</v>
      </c>
      <c r="F7" t="str">
        <f t="shared" si="3"/>
        <v>ELIGIBLE</v>
      </c>
      <c r="G7" t="str">
        <f t="shared" si="4"/>
        <v>YES</v>
      </c>
      <c r="H7" t="str">
        <f t="shared" si="5"/>
        <v>NO</v>
      </c>
      <c r="I7" t="str">
        <f t="shared" si="6"/>
        <v>GRADE F</v>
      </c>
    </row>
    <row r="8" spans="1:9" x14ac:dyDescent="0.3">
      <c r="A8">
        <v>67</v>
      </c>
      <c r="B8">
        <v>26</v>
      </c>
      <c r="C8" t="str">
        <f t="shared" si="0"/>
        <v>PASS</v>
      </c>
      <c r="D8" t="str">
        <f t="shared" si="1"/>
        <v>FAIL</v>
      </c>
      <c r="E8" t="str">
        <f t="shared" si="2"/>
        <v>NOT ELIGIBLE</v>
      </c>
      <c r="F8" t="str">
        <f t="shared" si="3"/>
        <v>ELIGIBLE</v>
      </c>
      <c r="G8" t="str">
        <f t="shared" si="4"/>
        <v>NO</v>
      </c>
      <c r="H8" t="str">
        <f t="shared" si="5"/>
        <v>YES</v>
      </c>
      <c r="I8" t="str">
        <f t="shared" si="6"/>
        <v>GRADE C</v>
      </c>
    </row>
    <row r="9" spans="1:9" x14ac:dyDescent="0.3">
      <c r="A9">
        <v>72</v>
      </c>
      <c r="B9">
        <v>61</v>
      </c>
      <c r="C9" t="str">
        <f t="shared" si="0"/>
        <v>PASS</v>
      </c>
      <c r="D9" t="str">
        <f t="shared" si="1"/>
        <v>PASS</v>
      </c>
      <c r="E9" t="str">
        <f t="shared" si="2"/>
        <v>ELIGIBLE</v>
      </c>
      <c r="F9" t="str">
        <f t="shared" si="3"/>
        <v>ELIGIBLE</v>
      </c>
      <c r="G9" t="str">
        <f t="shared" si="4"/>
        <v>NO</v>
      </c>
      <c r="H9" t="str">
        <f t="shared" si="5"/>
        <v>NO</v>
      </c>
      <c r="I9" t="str">
        <f t="shared" si="6"/>
        <v>GRADE C</v>
      </c>
    </row>
    <row r="10" spans="1:9" x14ac:dyDescent="0.3">
      <c r="A10">
        <v>59</v>
      </c>
      <c r="B10">
        <v>16</v>
      </c>
      <c r="C10" t="str">
        <f t="shared" si="0"/>
        <v>PASS</v>
      </c>
      <c r="D10" t="str">
        <f t="shared" si="1"/>
        <v>FAIL</v>
      </c>
      <c r="E10" t="str">
        <f t="shared" si="2"/>
        <v>NOT ELIGIBLE</v>
      </c>
      <c r="F10" t="str">
        <f t="shared" si="3"/>
        <v>ELIGIBLE</v>
      </c>
      <c r="G10" t="str">
        <f t="shared" si="4"/>
        <v>NO</v>
      </c>
      <c r="H10" t="str">
        <f t="shared" si="5"/>
        <v>YES</v>
      </c>
      <c r="I10" t="str">
        <f t="shared" si="6"/>
        <v>GRADE C</v>
      </c>
    </row>
    <row r="14" spans="1:9" x14ac:dyDescent="0.3">
      <c r="A14" t="s">
        <v>0</v>
      </c>
      <c r="B14" t="s">
        <v>1</v>
      </c>
      <c r="D14" s="5" t="s">
        <v>0</v>
      </c>
      <c r="E14" s="5" t="s">
        <v>1</v>
      </c>
      <c r="F14" s="5" t="s">
        <v>23</v>
      </c>
      <c r="G14" s="5" t="s">
        <v>24</v>
      </c>
      <c r="H14" s="5" t="s">
        <v>25</v>
      </c>
      <c r="I14" s="5" t="s">
        <v>26</v>
      </c>
    </row>
    <row r="15" spans="1:9" x14ac:dyDescent="0.3">
      <c r="A15" t="b">
        <v>0</v>
      </c>
      <c r="B15" t="b">
        <v>0</v>
      </c>
      <c r="D15" s="4">
        <v>0</v>
      </c>
      <c r="E15" s="4">
        <v>0</v>
      </c>
      <c r="F15" s="4">
        <v>0</v>
      </c>
      <c r="G15" s="4">
        <v>0</v>
      </c>
      <c r="H15" s="4">
        <v>1</v>
      </c>
      <c r="I15" s="4">
        <v>1</v>
      </c>
    </row>
    <row r="16" spans="1:9" x14ac:dyDescent="0.3">
      <c r="A16" t="b">
        <v>0</v>
      </c>
      <c r="B16" t="b">
        <v>1</v>
      </c>
      <c r="D16" s="4">
        <v>0</v>
      </c>
      <c r="E16" s="4">
        <v>1</v>
      </c>
      <c r="F16" s="4">
        <v>0</v>
      </c>
      <c r="G16" s="4">
        <v>1</v>
      </c>
      <c r="H16" s="4">
        <v>1</v>
      </c>
      <c r="I16" s="4">
        <v>0</v>
      </c>
    </row>
    <row r="17" spans="1:9" x14ac:dyDescent="0.3">
      <c r="A17" t="b">
        <v>1</v>
      </c>
      <c r="B17" t="b">
        <v>0</v>
      </c>
      <c r="D17" s="4">
        <v>1</v>
      </c>
      <c r="E17" s="4">
        <v>0</v>
      </c>
      <c r="F17" s="4">
        <v>0</v>
      </c>
      <c r="G17" s="4">
        <v>1</v>
      </c>
      <c r="H17" s="4">
        <v>0</v>
      </c>
      <c r="I17" s="4">
        <v>1</v>
      </c>
    </row>
    <row r="18" spans="1:9" x14ac:dyDescent="0.3">
      <c r="A18" t="b">
        <v>1</v>
      </c>
      <c r="B18" t="b">
        <v>1</v>
      </c>
      <c r="D18" s="4">
        <v>1</v>
      </c>
      <c r="E18" s="4">
        <v>1</v>
      </c>
      <c r="F18" s="4">
        <v>1</v>
      </c>
      <c r="G18" s="4">
        <v>1</v>
      </c>
      <c r="H18" s="4">
        <v>0</v>
      </c>
      <c r="I18" s="4">
        <v>0</v>
      </c>
    </row>
    <row r="20" spans="1:9" x14ac:dyDescent="0.3">
      <c r="D20" t="s">
        <v>27</v>
      </c>
    </row>
    <row r="21" spans="1:9" x14ac:dyDescent="0.3">
      <c r="D21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080A5-3897-4407-A839-7B8472F79A42}">
  <dimension ref="A1:K31"/>
  <sheetViews>
    <sheetView workbookViewId="0">
      <selection activeCell="C33" sqref="C33"/>
    </sheetView>
  </sheetViews>
  <sheetFormatPr defaultRowHeight="14.4" x14ac:dyDescent="0.3"/>
  <cols>
    <col min="1" max="1" width="35.88671875" bestFit="1" customWidth="1"/>
    <col min="6" max="6" width="19" bestFit="1" customWidth="1"/>
    <col min="10" max="10" width="21.33203125" bestFit="1" customWidth="1"/>
    <col min="11" max="11" width="16.6640625" bestFit="1" customWidth="1"/>
  </cols>
  <sheetData>
    <row r="1" spans="1:11" x14ac:dyDescent="0.3">
      <c r="A1" t="s">
        <v>57</v>
      </c>
      <c r="E1" t="s">
        <v>70</v>
      </c>
      <c r="F1" t="s">
        <v>71</v>
      </c>
      <c r="G1" t="str">
        <f>TRIM(F1)</f>
        <v>mocLOhdy ExceLLL</v>
      </c>
    </row>
    <row r="3" spans="1:11" x14ac:dyDescent="0.3">
      <c r="A3" s="1" t="s">
        <v>58</v>
      </c>
    </row>
    <row r="4" spans="1:11" x14ac:dyDescent="0.3">
      <c r="A4" t="s">
        <v>59</v>
      </c>
      <c r="C4" t="s">
        <v>63</v>
      </c>
    </row>
    <row r="5" spans="1:11" x14ac:dyDescent="0.3">
      <c r="A5" t="s">
        <v>64</v>
      </c>
      <c r="C5" t="s">
        <v>65</v>
      </c>
      <c r="I5" s="1" t="s">
        <v>78</v>
      </c>
    </row>
    <row r="6" spans="1:11" x14ac:dyDescent="0.3">
      <c r="A6" t="s">
        <v>60</v>
      </c>
      <c r="C6" t="s">
        <v>66</v>
      </c>
      <c r="I6" t="s">
        <v>79</v>
      </c>
      <c r="J6">
        <f>LEN(A1)</f>
        <v>34</v>
      </c>
    </row>
    <row r="7" spans="1:11" x14ac:dyDescent="0.3">
      <c r="A7" t="s">
        <v>61</v>
      </c>
      <c r="C7" t="s">
        <v>67</v>
      </c>
    </row>
    <row r="8" spans="1:11" x14ac:dyDescent="0.3">
      <c r="A8" t="s">
        <v>62</v>
      </c>
      <c r="C8" t="s">
        <v>68</v>
      </c>
      <c r="I8" t="s">
        <v>70</v>
      </c>
      <c r="J8" t="s">
        <v>71</v>
      </c>
      <c r="K8" t="str">
        <f>TRIM(J8)</f>
        <v>mocLOhdy ExceLLL</v>
      </c>
    </row>
    <row r="10" spans="1:11" x14ac:dyDescent="0.3">
      <c r="I10" t="s">
        <v>72</v>
      </c>
      <c r="J10" t="s">
        <v>73</v>
      </c>
      <c r="K10" t="str">
        <f>UPPER(J10)</f>
        <v>JHHDDCSDNSJCB</v>
      </c>
    </row>
    <row r="12" spans="1:11" x14ac:dyDescent="0.3">
      <c r="I12" t="s">
        <v>74</v>
      </c>
      <c r="J12" t="s">
        <v>75</v>
      </c>
      <c r="K12" t="str">
        <f>LOWER(J12)</f>
        <v>djhcgduysch</v>
      </c>
    </row>
    <row r="14" spans="1:11" x14ac:dyDescent="0.3">
      <c r="I14" t="s">
        <v>76</v>
      </c>
      <c r="J14" t="s">
        <v>77</v>
      </c>
      <c r="K14" t="str">
        <f>PROPER(J14)</f>
        <v>Gayathri</v>
      </c>
    </row>
    <row r="17" spans="1:5" x14ac:dyDescent="0.3">
      <c r="A17" s="1" t="s">
        <v>80</v>
      </c>
      <c r="B17" s="1" t="s">
        <v>69</v>
      </c>
      <c r="C17" t="s">
        <v>89</v>
      </c>
    </row>
    <row r="18" spans="1:5" x14ac:dyDescent="0.3">
      <c r="A18" t="s">
        <v>81</v>
      </c>
      <c r="C18" t="str">
        <f>LEFT(C17,5)</f>
        <v>Hello</v>
      </c>
      <c r="E18" t="s">
        <v>84</v>
      </c>
    </row>
    <row r="19" spans="1:5" x14ac:dyDescent="0.3">
      <c r="A19" t="s">
        <v>82</v>
      </c>
      <c r="C19" t="str">
        <f>RIGHT(C17,5)</f>
        <v>orldW</v>
      </c>
      <c r="E19" t="s">
        <v>85</v>
      </c>
    </row>
    <row r="20" spans="1:5" x14ac:dyDescent="0.3">
      <c r="A20" t="s">
        <v>83</v>
      </c>
      <c r="C20" t="str">
        <f>MID(C17,6,5)</f>
        <v xml:space="preserve"> Worl</v>
      </c>
      <c r="E20" t="s">
        <v>86</v>
      </c>
    </row>
    <row r="22" spans="1:5" x14ac:dyDescent="0.3">
      <c r="A22" t="s">
        <v>87</v>
      </c>
      <c r="C22">
        <f>FIND("W",C17)</f>
        <v>7</v>
      </c>
      <c r="E22" t="s">
        <v>88</v>
      </c>
    </row>
    <row r="23" spans="1:5" x14ac:dyDescent="0.3">
      <c r="A23" t="s">
        <v>90</v>
      </c>
      <c r="C23">
        <f>SEARCH("w",C17)</f>
        <v>7</v>
      </c>
    </row>
    <row r="25" spans="1:5" x14ac:dyDescent="0.3">
      <c r="C25">
        <f>FIND("W",C17,8)</f>
        <v>12</v>
      </c>
    </row>
    <row r="26" spans="1:5" x14ac:dyDescent="0.3">
      <c r="A26" t="s">
        <v>91</v>
      </c>
      <c r="C26" t="str">
        <f>REPLACE(C17,7,6,"Excel")</f>
        <v>Hello Excel</v>
      </c>
      <c r="E26" t="s">
        <v>92</v>
      </c>
    </row>
    <row r="27" spans="1:5" x14ac:dyDescent="0.3">
      <c r="B27" s="1" t="s">
        <v>94</v>
      </c>
    </row>
    <row r="28" spans="1:5" x14ac:dyDescent="0.3">
      <c r="A28" t="s">
        <v>93</v>
      </c>
      <c r="C28" t="str">
        <f>SUBSTITUTE(B27,"hello","hi")</f>
        <v>hi gayathri</v>
      </c>
      <c r="E28" t="s">
        <v>95</v>
      </c>
    </row>
    <row r="30" spans="1:5" x14ac:dyDescent="0.3">
      <c r="A30" t="s">
        <v>96</v>
      </c>
      <c r="B30" t="s">
        <v>97</v>
      </c>
      <c r="C30" t="s">
        <v>98</v>
      </c>
    </row>
    <row r="31" spans="1:5" x14ac:dyDescent="0.3">
      <c r="C31" t="str">
        <f>_xlfn.CONCAT(B30,C30)</f>
        <v>hellohi</v>
      </c>
      <c r="E31" t="s">
        <v>99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C16D2-AF12-4319-8F2F-54F224BCF579}">
  <dimension ref="A1:F23"/>
  <sheetViews>
    <sheetView workbookViewId="0">
      <selection activeCell="C7" sqref="C7"/>
    </sheetView>
  </sheetViews>
  <sheetFormatPr defaultRowHeight="14.4" x14ac:dyDescent="0.3"/>
  <cols>
    <col min="3" max="3" width="15.44140625" bestFit="1" customWidth="1"/>
    <col min="6" max="6" width="10.33203125" bestFit="1" customWidth="1"/>
  </cols>
  <sheetData>
    <row r="1" spans="1:6" x14ac:dyDescent="0.3">
      <c r="A1" s="1" t="s">
        <v>100</v>
      </c>
    </row>
    <row r="3" spans="1:6" x14ac:dyDescent="0.3">
      <c r="A3" t="s">
        <v>101</v>
      </c>
      <c r="C3" s="8">
        <f ca="1">TODAY()</f>
        <v>46325</v>
      </c>
      <c r="F3" s="8">
        <v>37466</v>
      </c>
    </row>
    <row r="4" spans="1:6" x14ac:dyDescent="0.3">
      <c r="A4" t="s">
        <v>102</v>
      </c>
      <c r="C4" s="9">
        <f ca="1">NOW()</f>
        <v>46325.518604398145</v>
      </c>
    </row>
    <row r="6" spans="1:6" x14ac:dyDescent="0.3">
      <c r="A6" s="1" t="s">
        <v>103</v>
      </c>
    </row>
    <row r="7" spans="1:6" x14ac:dyDescent="0.3">
      <c r="A7" t="s">
        <v>104</v>
      </c>
      <c r="C7">
        <f ca="1">YEAR(C3)</f>
        <v>2026</v>
      </c>
      <c r="F7">
        <f>YEAR(F3)</f>
        <v>2002</v>
      </c>
    </row>
    <row r="8" spans="1:6" x14ac:dyDescent="0.3">
      <c r="A8" t="s">
        <v>105</v>
      </c>
      <c r="C8">
        <f ca="1">MONTH(C3)</f>
        <v>10</v>
      </c>
      <c r="F8">
        <f>MONTH(F3)</f>
        <v>7</v>
      </c>
    </row>
    <row r="9" spans="1:6" x14ac:dyDescent="0.3">
      <c r="A9" t="s">
        <v>106</v>
      </c>
      <c r="C9">
        <f ca="1">DAY(C3)</f>
        <v>30</v>
      </c>
      <c r="F9">
        <f>DAY(F3)</f>
        <v>29</v>
      </c>
    </row>
    <row r="10" spans="1:6" x14ac:dyDescent="0.3">
      <c r="A10" t="s">
        <v>107</v>
      </c>
      <c r="C10">
        <f ca="1">WEEKDAY(TODAY(),2)</f>
        <v>5</v>
      </c>
      <c r="F10">
        <f ca="1">WEEKDAY(TODAY(),14)</f>
        <v>2</v>
      </c>
    </row>
    <row r="11" spans="1:6" x14ac:dyDescent="0.3">
      <c r="A11" t="s">
        <v>108</v>
      </c>
      <c r="C11">
        <f ca="1">WEEKNUM(TODAY())</f>
        <v>44</v>
      </c>
    </row>
    <row r="12" spans="1:6" x14ac:dyDescent="0.3">
      <c r="A12" t="s">
        <v>109</v>
      </c>
      <c r="C12" t="str">
        <f ca="1">TEXT(TODAY(),"MMMM")</f>
        <v>October</v>
      </c>
      <c r="F12" t="str">
        <f>TEXT(F3,"MMMM")</f>
        <v>July</v>
      </c>
    </row>
    <row r="13" spans="1:6" x14ac:dyDescent="0.3">
      <c r="C13" t="str">
        <f ca="1">TEXT(TODAY(),"DDDD")</f>
        <v>Friday</v>
      </c>
      <c r="F13" t="str">
        <f>TEXT(F3,"DDDD")</f>
        <v>Monday</v>
      </c>
    </row>
    <row r="15" spans="1:6" x14ac:dyDescent="0.3">
      <c r="A15" t="s">
        <v>110</v>
      </c>
      <c r="C15" s="8">
        <v>45502</v>
      </c>
    </row>
    <row r="16" spans="1:6" x14ac:dyDescent="0.3">
      <c r="C16" s="8">
        <v>46324</v>
      </c>
    </row>
    <row r="17" spans="1:4" x14ac:dyDescent="0.3">
      <c r="C17">
        <f>DATEDIF(C15,C16,"Y")</f>
        <v>2</v>
      </c>
      <c r="D17" t="s">
        <v>111</v>
      </c>
    </row>
    <row r="18" spans="1:4" x14ac:dyDescent="0.3">
      <c r="C18">
        <f>DATEDIF(C15,C16,"M")</f>
        <v>27</v>
      </c>
      <c r="D18" t="s">
        <v>112</v>
      </c>
    </row>
    <row r="19" spans="1:4" x14ac:dyDescent="0.3">
      <c r="C19">
        <f>DATEDIF(C15,C16,"D")</f>
        <v>822</v>
      </c>
      <c r="D19" t="s">
        <v>113</v>
      </c>
    </row>
    <row r="21" spans="1:4" x14ac:dyDescent="0.3">
      <c r="A21" t="s">
        <v>114</v>
      </c>
      <c r="C21" s="8">
        <f ca="1">EDATE(TODAY(),3)</f>
        <v>46417</v>
      </c>
      <c r="D21" t="s">
        <v>115</v>
      </c>
    </row>
    <row r="23" spans="1:4" x14ac:dyDescent="0.3">
      <c r="C23" s="8">
        <f ca="1">EDATE(TODAY(),5)</f>
        <v>46476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9222-F03B-4961-A111-C775684B0416}">
  <dimension ref="A1:H19"/>
  <sheetViews>
    <sheetView workbookViewId="0">
      <selection activeCell="G17" sqref="G17"/>
    </sheetView>
  </sheetViews>
  <sheetFormatPr defaultRowHeight="14.4" x14ac:dyDescent="0.3"/>
  <cols>
    <col min="2" max="2" width="12.88671875" bestFit="1" customWidth="1"/>
    <col min="3" max="3" width="17.5546875" bestFit="1" customWidth="1"/>
    <col min="4" max="4" width="11" bestFit="1" customWidth="1"/>
    <col min="6" max="6" width="22.44140625" bestFit="1" customWidth="1"/>
  </cols>
  <sheetData>
    <row r="1" spans="1:8" x14ac:dyDescent="0.3">
      <c r="A1" s="11" t="s">
        <v>116</v>
      </c>
      <c r="B1" s="11" t="s">
        <v>34</v>
      </c>
      <c r="C1" s="11" t="s">
        <v>117</v>
      </c>
      <c r="D1" s="11" t="s">
        <v>123</v>
      </c>
      <c r="E1" s="11" t="s">
        <v>129</v>
      </c>
      <c r="F1" s="11" t="s">
        <v>124</v>
      </c>
    </row>
    <row r="2" spans="1:8" x14ac:dyDescent="0.3">
      <c r="A2" s="10">
        <v>1</v>
      </c>
      <c r="B2" s="10" t="s">
        <v>118</v>
      </c>
      <c r="C2" s="10" t="s">
        <v>119</v>
      </c>
      <c r="D2" s="10" t="s">
        <v>126</v>
      </c>
      <c r="E2" s="10" t="s">
        <v>130</v>
      </c>
      <c r="F2" s="12" t="s">
        <v>134</v>
      </c>
      <c r="H2" s="1" t="s">
        <v>137</v>
      </c>
    </row>
    <row r="3" spans="1:8" x14ac:dyDescent="0.3">
      <c r="A3" s="10">
        <v>2</v>
      </c>
      <c r="B3" s="10" t="s">
        <v>120</v>
      </c>
      <c r="C3" s="10" t="s">
        <v>121</v>
      </c>
      <c r="D3" s="10" t="s">
        <v>127</v>
      </c>
      <c r="E3" s="10" t="s">
        <v>131</v>
      </c>
      <c r="F3" s="12" t="s">
        <v>135</v>
      </c>
      <c r="H3" t="s">
        <v>133</v>
      </c>
    </row>
    <row r="4" spans="1:8" x14ac:dyDescent="0.3">
      <c r="A4" s="10">
        <v>3</v>
      </c>
      <c r="B4" s="10" t="s">
        <v>122</v>
      </c>
      <c r="C4" s="10" t="s">
        <v>125</v>
      </c>
      <c r="D4" s="10" t="s">
        <v>128</v>
      </c>
      <c r="E4" s="10" t="s">
        <v>132</v>
      </c>
      <c r="F4" s="12" t="s">
        <v>136</v>
      </c>
    </row>
    <row r="8" spans="1:8" x14ac:dyDescent="0.3">
      <c r="B8" t="s">
        <v>138</v>
      </c>
      <c r="D8" t="s">
        <v>142</v>
      </c>
      <c r="F8" t="s">
        <v>154</v>
      </c>
    </row>
    <row r="9" spans="1:8" x14ac:dyDescent="0.3">
      <c r="B9" t="s">
        <v>139</v>
      </c>
      <c r="D9" t="s">
        <v>143</v>
      </c>
      <c r="F9" t="s">
        <v>155</v>
      </c>
    </row>
    <row r="10" spans="1:8" x14ac:dyDescent="0.3">
      <c r="B10" t="s">
        <v>140</v>
      </c>
      <c r="D10" t="s">
        <v>144</v>
      </c>
      <c r="F10" t="s">
        <v>156</v>
      </c>
    </row>
    <row r="11" spans="1:8" x14ac:dyDescent="0.3">
      <c r="B11" t="s">
        <v>141</v>
      </c>
      <c r="D11" t="s">
        <v>145</v>
      </c>
      <c r="F11" t="s">
        <v>157</v>
      </c>
    </row>
    <row r="12" spans="1:8" x14ac:dyDescent="0.3">
      <c r="D12" t="s">
        <v>146</v>
      </c>
      <c r="F12" t="s">
        <v>154</v>
      </c>
    </row>
    <row r="13" spans="1:8" x14ac:dyDescent="0.3">
      <c r="D13" t="s">
        <v>147</v>
      </c>
      <c r="F13" t="s">
        <v>155</v>
      </c>
    </row>
    <row r="14" spans="1:8" x14ac:dyDescent="0.3">
      <c r="D14" t="s">
        <v>148</v>
      </c>
      <c r="F14" t="s">
        <v>156</v>
      </c>
    </row>
    <row r="15" spans="1:8" x14ac:dyDescent="0.3">
      <c r="D15" t="s">
        <v>149</v>
      </c>
      <c r="F15" t="s">
        <v>157</v>
      </c>
    </row>
    <row r="16" spans="1:8" x14ac:dyDescent="0.3">
      <c r="D16" t="s">
        <v>150</v>
      </c>
      <c r="F16" t="s">
        <v>154</v>
      </c>
      <c r="H16" s="1" t="s">
        <v>159</v>
      </c>
    </row>
    <row r="17" spans="4:8" x14ac:dyDescent="0.3">
      <c r="D17" t="s">
        <v>151</v>
      </c>
      <c r="F17" t="s">
        <v>155</v>
      </c>
      <c r="H17" t="s">
        <v>158</v>
      </c>
    </row>
    <row r="18" spans="4:8" x14ac:dyDescent="0.3">
      <c r="D18" t="s">
        <v>152</v>
      </c>
      <c r="F18" t="s">
        <v>156</v>
      </c>
    </row>
    <row r="19" spans="4:8" x14ac:dyDescent="0.3">
      <c r="D19" t="s">
        <v>153</v>
      </c>
      <c r="F19" t="s">
        <v>157</v>
      </c>
    </row>
  </sheetData>
  <phoneticPr fontId="3" type="noConversion"/>
  <hyperlinks>
    <hyperlink ref="F2" r:id="rId1" xr:uid="{5B6D9F51-9EB6-4AFF-B0B1-B898CE990501}"/>
    <hyperlink ref="F3" r:id="rId2" xr:uid="{1B93B88B-F55C-4E9F-AAB8-E544522171C8}"/>
    <hyperlink ref="F4" r:id="rId3" xr:uid="{4803913E-3C19-4256-A742-A36D30A283D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5FB38-ED70-4CF8-A020-32BED4F01D66}">
  <dimension ref="A1:K28"/>
  <sheetViews>
    <sheetView topLeftCell="A8" workbookViewId="0">
      <selection activeCell="J29" sqref="J29"/>
    </sheetView>
  </sheetViews>
  <sheetFormatPr defaultRowHeight="14.4" x14ac:dyDescent="0.3"/>
  <cols>
    <col min="3" max="3" width="19.88671875" bestFit="1" customWidth="1"/>
    <col min="11" max="11" width="12.88671875" bestFit="1" customWidth="1"/>
  </cols>
  <sheetData>
    <row r="1" spans="1:11" x14ac:dyDescent="0.3">
      <c r="A1" t="s">
        <v>0</v>
      </c>
      <c r="D1" t="s">
        <v>162</v>
      </c>
      <c r="E1" t="s">
        <v>163</v>
      </c>
      <c r="I1" t="s">
        <v>167</v>
      </c>
      <c r="K1" t="s">
        <v>168</v>
      </c>
    </row>
    <row r="2" spans="1:11" x14ac:dyDescent="0.3">
      <c r="A2">
        <v>30</v>
      </c>
      <c r="C2" t="s">
        <v>160</v>
      </c>
      <c r="D2">
        <f>AVERAGE(A2:A9)</f>
        <v>44</v>
      </c>
      <c r="E2">
        <f>SUM(A2:A9)</f>
        <v>352</v>
      </c>
      <c r="F2">
        <f>COUNT(A2:A9)</f>
        <v>8</v>
      </c>
      <c r="G2">
        <f>E2/F2</f>
        <v>44</v>
      </c>
      <c r="I2">
        <f>A2-$D$2</f>
        <v>-14</v>
      </c>
      <c r="K2">
        <f>POWER(I2,2)</f>
        <v>196</v>
      </c>
    </row>
    <row r="3" spans="1:11" x14ac:dyDescent="0.3">
      <c r="A3">
        <v>15</v>
      </c>
      <c r="I3">
        <f t="shared" ref="I3:I11" si="0">A3-$D$2</f>
        <v>-29</v>
      </c>
      <c r="K3">
        <f t="shared" ref="K3:K10" si="1">POWER(I3,2)</f>
        <v>841</v>
      </c>
    </row>
    <row r="4" spans="1:11" x14ac:dyDescent="0.3">
      <c r="A4">
        <v>25</v>
      </c>
      <c r="C4" t="s">
        <v>161</v>
      </c>
      <c r="D4">
        <f>MEDIAN(A2:A9)</f>
        <v>37.5</v>
      </c>
      <c r="E4" t="s">
        <v>165</v>
      </c>
      <c r="F4">
        <f>(8+1)/2</f>
        <v>4.5</v>
      </c>
      <c r="I4">
        <f t="shared" si="0"/>
        <v>-19</v>
      </c>
      <c r="K4">
        <f t="shared" si="1"/>
        <v>361</v>
      </c>
    </row>
    <row r="5" spans="1:11" x14ac:dyDescent="0.3">
      <c r="A5">
        <v>30</v>
      </c>
      <c r="I5">
        <f t="shared" si="0"/>
        <v>-14</v>
      </c>
      <c r="K5">
        <f t="shared" si="1"/>
        <v>196</v>
      </c>
    </row>
    <row r="6" spans="1:11" x14ac:dyDescent="0.3">
      <c r="A6">
        <v>45</v>
      </c>
      <c r="C6" t="s">
        <v>164</v>
      </c>
      <c r="D6">
        <f>_xlfn.MODE.SNGL(A2:A9)</f>
        <v>30</v>
      </c>
      <c r="I6">
        <f t="shared" si="0"/>
        <v>1</v>
      </c>
      <c r="K6">
        <f t="shared" si="1"/>
        <v>1</v>
      </c>
    </row>
    <row r="7" spans="1:11" x14ac:dyDescent="0.3">
      <c r="A7">
        <v>59</v>
      </c>
      <c r="C7" t="s">
        <v>166</v>
      </c>
      <c r="D7">
        <f t="array" ref="D7:D10">_xlfn.MODE.MULT(A2:A10)</f>
        <v>30</v>
      </c>
      <c r="I7">
        <f t="shared" si="0"/>
        <v>15</v>
      </c>
      <c r="K7">
        <f t="shared" si="1"/>
        <v>225</v>
      </c>
    </row>
    <row r="8" spans="1:11" x14ac:dyDescent="0.3">
      <c r="A8">
        <v>63</v>
      </c>
      <c r="D8">
        <v>85</v>
      </c>
      <c r="I8">
        <f t="shared" si="0"/>
        <v>19</v>
      </c>
      <c r="K8">
        <f t="shared" si="1"/>
        <v>361</v>
      </c>
    </row>
    <row r="9" spans="1:11" x14ac:dyDescent="0.3">
      <c r="A9">
        <v>85</v>
      </c>
      <c r="D9" t="e">
        <v>#N/A</v>
      </c>
      <c r="I9">
        <f t="shared" si="0"/>
        <v>41</v>
      </c>
      <c r="K9">
        <f t="shared" si="1"/>
        <v>1681</v>
      </c>
    </row>
    <row r="10" spans="1:11" x14ac:dyDescent="0.3">
      <c r="A10">
        <v>85</v>
      </c>
      <c r="D10" t="e">
        <v>#N/A</v>
      </c>
      <c r="I10">
        <f t="shared" si="0"/>
        <v>41</v>
      </c>
      <c r="K10">
        <f t="shared" si="1"/>
        <v>1681</v>
      </c>
    </row>
    <row r="12" spans="1:11" x14ac:dyDescent="0.3">
      <c r="C12" t="s">
        <v>169</v>
      </c>
      <c r="D12">
        <f>AVERAGE(K2:K10)</f>
        <v>615.88888888888891</v>
      </c>
      <c r="E12" t="s">
        <v>170</v>
      </c>
    </row>
    <row r="15" spans="1:11" x14ac:dyDescent="0.3">
      <c r="A15" t="s">
        <v>172</v>
      </c>
      <c r="C15" t="s">
        <v>171</v>
      </c>
      <c r="D15">
        <f>SQRT(D12)</f>
        <v>24.817108793912496</v>
      </c>
      <c r="E15">
        <f>_xlfn.STDEV.P(A2:A10)</f>
        <v>24.395405355704501</v>
      </c>
    </row>
    <row r="19" spans="1:10" x14ac:dyDescent="0.3">
      <c r="A19">
        <v>25</v>
      </c>
      <c r="D19">
        <f>AVERAGE(A19:A25)</f>
        <v>55.714285714285715</v>
      </c>
      <c r="E19">
        <f>F19/G19</f>
        <v>55.714285714285715</v>
      </c>
      <c r="F19">
        <f>SUM(A19:A25)</f>
        <v>390</v>
      </c>
      <c r="G19">
        <f>COUNT(A19:A25)</f>
        <v>7</v>
      </c>
      <c r="I19">
        <f>A19-$D$19</f>
        <v>-30.714285714285715</v>
      </c>
      <c r="J19">
        <f>POWER(I19,2)</f>
        <v>943.36734693877554</v>
      </c>
    </row>
    <row r="20" spans="1:10" x14ac:dyDescent="0.3">
      <c r="A20">
        <v>32</v>
      </c>
      <c r="I20">
        <f t="shared" ref="I20:I25" si="2">A20-$D$19</f>
        <v>-23.714285714285715</v>
      </c>
      <c r="J20">
        <f t="shared" ref="J20:J24" si="3">POWER(I20,2)</f>
        <v>562.36734693877554</v>
      </c>
    </row>
    <row r="21" spans="1:10" x14ac:dyDescent="0.3">
      <c r="A21">
        <v>46</v>
      </c>
      <c r="D21">
        <f>MEDIAN(A19:A25)</f>
        <v>46</v>
      </c>
      <c r="E21">
        <f>(7+1)/2</f>
        <v>4</v>
      </c>
      <c r="I21">
        <f t="shared" si="2"/>
        <v>-9.7142857142857153</v>
      </c>
      <c r="J21">
        <f t="shared" si="3"/>
        <v>94.367346938775526</v>
      </c>
    </row>
    <row r="22" spans="1:10" x14ac:dyDescent="0.3">
      <c r="A22">
        <v>46</v>
      </c>
      <c r="I22">
        <f t="shared" si="2"/>
        <v>-9.7142857142857153</v>
      </c>
      <c r="J22">
        <f t="shared" si="3"/>
        <v>94.367346938775526</v>
      </c>
    </row>
    <row r="23" spans="1:10" x14ac:dyDescent="0.3">
      <c r="A23">
        <v>64</v>
      </c>
      <c r="D23">
        <f>_xlfn.MODE.SNGL(A19:A25)</f>
        <v>46</v>
      </c>
      <c r="I23">
        <f t="shared" si="2"/>
        <v>8.2857142857142847</v>
      </c>
      <c r="J23">
        <f t="shared" si="3"/>
        <v>68.653061224489775</v>
      </c>
    </row>
    <row r="24" spans="1:10" x14ac:dyDescent="0.3">
      <c r="A24">
        <v>82</v>
      </c>
      <c r="I24">
        <f t="shared" si="2"/>
        <v>26.285714285714285</v>
      </c>
      <c r="J24">
        <f t="shared" si="3"/>
        <v>690.93877551020398</v>
      </c>
    </row>
    <row r="25" spans="1:10" x14ac:dyDescent="0.3">
      <c r="A25">
        <v>95</v>
      </c>
      <c r="I25">
        <f t="shared" si="2"/>
        <v>39.285714285714285</v>
      </c>
      <c r="J25">
        <f>POWER(I25,2)</f>
        <v>1543.3673469387754</v>
      </c>
    </row>
    <row r="27" spans="1:10" x14ac:dyDescent="0.3">
      <c r="D27">
        <f>AVERAGE(J19:J25)</f>
        <v>571.0612244897959</v>
      </c>
      <c r="J27">
        <f>SUM(J19:J25)</f>
        <v>3997.4285714285711</v>
      </c>
    </row>
    <row r="28" spans="1:10" x14ac:dyDescent="0.3">
      <c r="J28">
        <f>J27/G19</f>
        <v>571.0612244897959</v>
      </c>
    </row>
  </sheetData>
  <sortState xmlns:xlrd2="http://schemas.microsoft.com/office/spreadsheetml/2017/richdata2" ref="A20:A25">
    <sortCondition ref="A20:A2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E8D6B-4BC6-4D9C-93F1-76DA1FC52873}">
  <dimension ref="A1:K8"/>
  <sheetViews>
    <sheetView tabSelected="1" workbookViewId="0">
      <selection activeCell="M11" sqref="M11"/>
    </sheetView>
  </sheetViews>
  <sheetFormatPr defaultRowHeight="14.4" x14ac:dyDescent="0.3"/>
  <cols>
    <col min="1" max="1" width="10.5546875" bestFit="1" customWidth="1"/>
    <col min="11" max="11" width="14.33203125" bestFit="1" customWidth="1"/>
  </cols>
  <sheetData>
    <row r="1" spans="1:11" x14ac:dyDescent="0.3">
      <c r="A1" s="13" t="s">
        <v>4</v>
      </c>
      <c r="B1" s="13" t="s">
        <v>142</v>
      </c>
      <c r="C1" s="13" t="s">
        <v>143</v>
      </c>
      <c r="D1" s="13" t="s">
        <v>144</v>
      </c>
      <c r="E1" s="13" t="s">
        <v>145</v>
      </c>
      <c r="F1" s="13" t="s">
        <v>146</v>
      </c>
      <c r="G1" s="13" t="s">
        <v>147</v>
      </c>
    </row>
    <row r="2" spans="1:11" x14ac:dyDescent="0.3">
      <c r="A2" s="10" t="s">
        <v>173</v>
      </c>
      <c r="B2" s="10">
        <v>9154</v>
      </c>
      <c r="C2" s="10">
        <v>4069</v>
      </c>
      <c r="D2" s="10">
        <v>1329</v>
      </c>
      <c r="E2" s="10">
        <v>8685</v>
      </c>
      <c r="F2" s="10">
        <v>6517</v>
      </c>
      <c r="G2" s="10">
        <v>4359</v>
      </c>
    </row>
    <row r="3" spans="1:11" x14ac:dyDescent="0.3">
      <c r="A3" s="10" t="s">
        <v>174</v>
      </c>
      <c r="B3" s="10">
        <v>8398</v>
      </c>
      <c r="C3" s="10">
        <v>4343</v>
      </c>
      <c r="D3" s="10">
        <v>6078</v>
      </c>
      <c r="E3" s="10">
        <v>9610</v>
      </c>
      <c r="F3" s="10">
        <v>8818</v>
      </c>
      <c r="G3" s="10">
        <v>9199</v>
      </c>
      <c r="K3" t="s">
        <v>180</v>
      </c>
    </row>
    <row r="4" spans="1:11" x14ac:dyDescent="0.3">
      <c r="A4" s="10" t="s">
        <v>176</v>
      </c>
      <c r="B4" s="10">
        <v>5230</v>
      </c>
      <c r="C4" s="10">
        <v>9048</v>
      </c>
      <c r="D4" s="10">
        <v>6600</v>
      </c>
      <c r="E4" s="10">
        <v>6548</v>
      </c>
      <c r="F4" s="10">
        <v>8228</v>
      </c>
      <c r="G4" s="10">
        <v>2630</v>
      </c>
      <c r="K4" t="s">
        <v>181</v>
      </c>
    </row>
    <row r="5" spans="1:11" x14ac:dyDescent="0.3">
      <c r="A5" s="10" t="s">
        <v>175</v>
      </c>
      <c r="B5" s="10">
        <v>4376</v>
      </c>
      <c r="C5" s="10">
        <v>1547</v>
      </c>
      <c r="D5" s="10">
        <v>8529</v>
      </c>
      <c r="E5" s="10">
        <v>7522</v>
      </c>
      <c r="F5" s="10">
        <v>2959</v>
      </c>
      <c r="G5" s="10">
        <v>7625</v>
      </c>
      <c r="K5" t="s">
        <v>182</v>
      </c>
    </row>
    <row r="6" spans="1:11" x14ac:dyDescent="0.3">
      <c r="A6" s="10" t="s">
        <v>177</v>
      </c>
      <c r="B6" s="10">
        <v>6461</v>
      </c>
      <c r="C6" s="10">
        <v>9768</v>
      </c>
      <c r="D6" s="10">
        <v>3244</v>
      </c>
      <c r="E6" s="10">
        <v>8452</v>
      </c>
      <c r="F6" s="10">
        <v>9895</v>
      </c>
      <c r="G6" s="10">
        <v>3711</v>
      </c>
      <c r="K6" t="s">
        <v>183</v>
      </c>
    </row>
    <row r="7" spans="1:11" x14ac:dyDescent="0.3">
      <c r="A7" s="10" t="s">
        <v>178</v>
      </c>
      <c r="B7" s="10">
        <v>5163</v>
      </c>
      <c r="C7" s="10">
        <v>3656</v>
      </c>
      <c r="D7" s="10">
        <v>8129</v>
      </c>
      <c r="E7" s="10">
        <v>1836</v>
      </c>
      <c r="F7" s="10">
        <v>3508</v>
      </c>
      <c r="G7" s="10">
        <v>8285</v>
      </c>
      <c r="K7" t="s">
        <v>184</v>
      </c>
    </row>
    <row r="8" spans="1:11" x14ac:dyDescent="0.3">
      <c r="A8" s="10" t="s">
        <v>179</v>
      </c>
      <c r="B8" s="10">
        <v>1398</v>
      </c>
      <c r="C8" s="10">
        <v>3972</v>
      </c>
      <c r="D8" s="10">
        <v>6061</v>
      </c>
      <c r="E8" s="10">
        <v>4615</v>
      </c>
      <c r="F8" s="10">
        <v>1496</v>
      </c>
      <c r="G8" s="10">
        <v>8350</v>
      </c>
    </row>
  </sheetData>
  <conditionalFormatting sqref="D2:G8">
    <cfRule type="cellIs" dxfId="17" priority="11" operator="greaterThan">
      <formula>5000</formula>
    </cfRule>
    <cfRule type="cellIs" dxfId="16" priority="10" operator="lessThan">
      <formula>5000</formula>
    </cfRule>
    <cfRule type="cellIs" dxfId="15" priority="9" operator="between">
      <formula>8000</formula>
      <formula>9000</formula>
    </cfRule>
    <cfRule type="cellIs" dxfId="14" priority="8" operator="equal">
      <formula>4000</formula>
    </cfRule>
    <cfRule type="top10" dxfId="13" priority="4" rank="5"/>
    <cfRule type="top10" dxfId="12" priority="3" percent="1" rank="3"/>
  </conditionalFormatting>
  <conditionalFormatting sqref="J10">
    <cfRule type="cellIs" dxfId="11" priority="7" operator="equal">
      <formula>4625</formula>
    </cfRule>
    <cfRule type="top10" dxfId="10" priority="6" rank="4"/>
    <cfRule type="top10" dxfId="9" priority="5" rank="5"/>
  </conditionalFormatting>
  <conditionalFormatting sqref="B2:B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{03A80FD0-7496-42E4-BA40-B948A0C04FEC}</x14:id>
        </ext>
      </extLst>
    </cfRule>
  </conditionalFormatting>
  <conditionalFormatting sqref="C2:C8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80FD0-7496-42E4-BA40-B948A0C04F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B2:B8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AF3C-E9E8-4A61-9B47-F5464826331F}">
  <dimension ref="A1:M10"/>
  <sheetViews>
    <sheetView zoomScale="67" workbookViewId="0">
      <selection activeCell="N10" sqref="N10"/>
    </sheetView>
  </sheetViews>
  <sheetFormatPr defaultRowHeight="14.4" x14ac:dyDescent="0.3"/>
  <cols>
    <col min="5" max="5" width="10.21875" bestFit="1" customWidth="1"/>
  </cols>
  <sheetData>
    <row r="1" spans="1:13" x14ac:dyDescent="0.3">
      <c r="A1" s="1" t="s">
        <v>4</v>
      </c>
      <c r="B1" s="1">
        <v>2025</v>
      </c>
      <c r="C1" s="2">
        <v>2026</v>
      </c>
    </row>
    <row r="2" spans="1:13" x14ac:dyDescent="0.3">
      <c r="A2" t="s">
        <v>0</v>
      </c>
      <c r="B2">
        <v>39</v>
      </c>
      <c r="C2">
        <v>85</v>
      </c>
    </row>
    <row r="3" spans="1:13" x14ac:dyDescent="0.3">
      <c r="A3" t="s">
        <v>1</v>
      </c>
      <c r="B3">
        <v>70</v>
      </c>
      <c r="C3">
        <v>98</v>
      </c>
    </row>
    <row r="4" spans="1:13" x14ac:dyDescent="0.3">
      <c r="A4" t="s">
        <v>55</v>
      </c>
      <c r="B4">
        <v>41</v>
      </c>
      <c r="C4">
        <v>56</v>
      </c>
    </row>
    <row r="5" spans="1:13" x14ac:dyDescent="0.3">
      <c r="A5" t="s">
        <v>0</v>
      </c>
      <c r="B5">
        <v>18</v>
      </c>
      <c r="C5">
        <v>39</v>
      </c>
      <c r="K5">
        <v>1</v>
      </c>
    </row>
    <row r="6" spans="1:13" x14ac:dyDescent="0.3">
      <c r="A6" t="s">
        <v>1</v>
      </c>
      <c r="B6">
        <v>23</v>
      </c>
      <c r="C6">
        <v>68</v>
      </c>
      <c r="K6">
        <v>2</v>
      </c>
    </row>
    <row r="7" spans="1:13" x14ac:dyDescent="0.3">
      <c r="A7" t="s">
        <v>55</v>
      </c>
      <c r="B7">
        <v>43</v>
      </c>
      <c r="C7">
        <v>86</v>
      </c>
      <c r="K7">
        <v>3</v>
      </c>
    </row>
    <row r="8" spans="1:13" x14ac:dyDescent="0.3">
      <c r="A8" t="s">
        <v>0</v>
      </c>
      <c r="B8">
        <v>67</v>
      </c>
      <c r="C8">
        <v>26</v>
      </c>
      <c r="K8">
        <v>4</v>
      </c>
    </row>
    <row r="9" spans="1:13" x14ac:dyDescent="0.3">
      <c r="A9" t="s">
        <v>1</v>
      </c>
      <c r="B9">
        <v>72</v>
      </c>
      <c r="C9">
        <v>61</v>
      </c>
      <c r="K9">
        <v>5</v>
      </c>
    </row>
    <row r="10" spans="1:13" x14ac:dyDescent="0.3">
      <c r="A10" t="s">
        <v>55</v>
      </c>
      <c r="B10">
        <v>59</v>
      </c>
      <c r="C10">
        <v>16</v>
      </c>
      <c r="E10" t="s">
        <v>56</v>
      </c>
      <c r="F10">
        <f>SUM(SALES_2026)</f>
        <v>535</v>
      </c>
      <c r="K10">
        <v>6</v>
      </c>
      <c r="M10">
        <f>SUM(SALES_ID)</f>
        <v>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F010-DED3-45D2-A132-931D2E30C71A}">
  <dimension ref="A1:J19"/>
  <sheetViews>
    <sheetView zoomScale="105" workbookViewId="0">
      <selection activeCell="H2" sqref="H2"/>
    </sheetView>
  </sheetViews>
  <sheetFormatPr defaultRowHeight="14.4" x14ac:dyDescent="0.3"/>
  <cols>
    <col min="4" max="4" width="12.44140625" bestFit="1" customWidth="1"/>
    <col min="5" max="5" width="14.77734375" bestFit="1" customWidth="1"/>
    <col min="6" max="6" width="14.21875" bestFit="1" customWidth="1"/>
    <col min="8" max="8" width="16" bestFit="1" customWidth="1"/>
    <col min="9" max="9" width="11.21875" bestFit="1" customWidth="1"/>
    <col min="10" max="10" width="19" bestFit="1" customWidth="1"/>
  </cols>
  <sheetData>
    <row r="1" spans="1:10" x14ac:dyDescent="0.3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6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spans="1:10" x14ac:dyDescent="0.3">
      <c r="A2" s="3">
        <v>1</v>
      </c>
      <c r="B2" t="s">
        <v>38</v>
      </c>
      <c r="C2">
        <v>12000</v>
      </c>
      <c r="D2">
        <v>0.95</v>
      </c>
      <c r="E2" t="s">
        <v>39</v>
      </c>
      <c r="F2" t="str">
        <f>IF(C2&gt;=10000,"MEET TARGET","MISSED TARGET")</f>
        <v>MEET TARGET</v>
      </c>
      <c r="G2" t="str">
        <f>IF(AND(C2&gt;=10000,E2="yes"),"ELIGIBLE","NOT")</f>
        <v>ELIGIBLE</v>
      </c>
      <c r="H2" t="str">
        <f>IF(OR(C2&lt;9000,D2&lt;0.9),"YES","NO")</f>
        <v>NO</v>
      </c>
      <c r="I2" t="str">
        <f>IF(NOT(E2="YES"),"PENDING","COMPLETED")</f>
        <v>COMPLETED</v>
      </c>
      <c r="J2" t="str">
        <f>IF(C2&gt;=12000,"ELITE",IF(C2&gt;=8000,"STANDARD",IF(C2&lt;8000,"NEED IMPROVEMENT")))</f>
        <v>ELITE</v>
      </c>
    </row>
    <row r="3" spans="1:10" x14ac:dyDescent="0.3">
      <c r="A3" s="3">
        <v>2</v>
      </c>
      <c r="B3" t="s">
        <v>40</v>
      </c>
      <c r="C3">
        <v>8000</v>
      </c>
      <c r="D3">
        <v>0.88</v>
      </c>
      <c r="E3" t="s">
        <v>41</v>
      </c>
      <c r="F3" t="str">
        <f t="shared" ref="F3:F6" si="0">IF(C3&gt;=10000,"MEET TARGET","MISSED TARGET")</f>
        <v>MISSED TARGET</v>
      </c>
      <c r="G3" t="str">
        <f t="shared" ref="G3:G6" si="1">IF(AND(C3&gt;=10000,E3="yes"),"ELIGIBLE","NOT")</f>
        <v>NOT</v>
      </c>
      <c r="H3" t="str">
        <f t="shared" ref="H3:H6" si="2">IF(OR(C3&lt;9000,D3&lt;0.9),"YES","NO")</f>
        <v>YES</v>
      </c>
      <c r="I3" t="str">
        <f t="shared" ref="I3:I5" si="3">IF(NOT(E3="YES"),"PENDING","COMPLETED")</f>
        <v>PENDING</v>
      </c>
      <c r="J3" t="str">
        <f t="shared" ref="J3:J6" si="4">IF(C3&gt;=12000,"ELITE",IF(C3&gt;=8000,"STANDARD",IF(C3&lt;8000,"NEED IMPROVEMENT")))</f>
        <v>STANDARD</v>
      </c>
    </row>
    <row r="4" spans="1:10" x14ac:dyDescent="0.3">
      <c r="A4" s="3">
        <v>3</v>
      </c>
      <c r="B4" t="s">
        <v>42</v>
      </c>
      <c r="C4">
        <v>15000</v>
      </c>
      <c r="D4">
        <v>0.75</v>
      </c>
      <c r="E4" t="s">
        <v>39</v>
      </c>
      <c r="F4" t="str">
        <f t="shared" si="0"/>
        <v>MEET TARGET</v>
      </c>
      <c r="G4" t="str">
        <f t="shared" si="1"/>
        <v>ELIGIBLE</v>
      </c>
      <c r="H4" t="str">
        <f t="shared" si="2"/>
        <v>YES</v>
      </c>
      <c r="I4" t="str">
        <f t="shared" si="3"/>
        <v>COMPLETED</v>
      </c>
      <c r="J4" t="str">
        <f t="shared" si="4"/>
        <v>ELITE</v>
      </c>
    </row>
    <row r="5" spans="1:10" x14ac:dyDescent="0.3">
      <c r="A5" s="3">
        <v>4</v>
      </c>
      <c r="B5" t="s">
        <v>43</v>
      </c>
      <c r="C5">
        <v>5000</v>
      </c>
      <c r="D5">
        <v>0.92</v>
      </c>
      <c r="E5" t="s">
        <v>39</v>
      </c>
      <c r="F5" t="str">
        <f t="shared" si="0"/>
        <v>MISSED TARGET</v>
      </c>
      <c r="G5" t="str">
        <f t="shared" si="1"/>
        <v>NOT</v>
      </c>
      <c r="H5" t="str">
        <f t="shared" si="2"/>
        <v>YES</v>
      </c>
      <c r="I5" t="str">
        <f t="shared" si="3"/>
        <v>COMPLETED</v>
      </c>
      <c r="J5" t="str">
        <f t="shared" si="4"/>
        <v>NEED IMPROVEMENT</v>
      </c>
    </row>
    <row r="6" spans="1:10" x14ac:dyDescent="0.3">
      <c r="A6" s="3">
        <v>5</v>
      </c>
      <c r="B6" t="s">
        <v>44</v>
      </c>
      <c r="C6">
        <v>9500</v>
      </c>
      <c r="D6">
        <v>0.91</v>
      </c>
      <c r="E6" t="s">
        <v>45</v>
      </c>
      <c r="F6" t="str">
        <f t="shared" si="0"/>
        <v>MISSED TARGET</v>
      </c>
      <c r="G6" t="str">
        <f t="shared" si="1"/>
        <v>NOT</v>
      </c>
      <c r="H6" t="str">
        <f t="shared" si="2"/>
        <v>NO</v>
      </c>
      <c r="I6" t="str">
        <f>IF(NOT(E6="YES"),"PENDING","COMPLETED")</f>
        <v>PENDING</v>
      </c>
      <c r="J6" t="str">
        <f t="shared" si="4"/>
        <v>STANDARD</v>
      </c>
    </row>
    <row r="7" spans="1:10" x14ac:dyDescent="0.3">
      <c r="A7" s="3"/>
    </row>
    <row r="8" spans="1:10" x14ac:dyDescent="0.3">
      <c r="A8" s="3"/>
    </row>
    <row r="9" spans="1:10" x14ac:dyDescent="0.3">
      <c r="A9" s="3"/>
    </row>
    <row r="10" spans="1:10" x14ac:dyDescent="0.3">
      <c r="A10" s="3"/>
    </row>
    <row r="11" spans="1:10" x14ac:dyDescent="0.3">
      <c r="A11" s="3"/>
    </row>
    <row r="12" spans="1:10" x14ac:dyDescent="0.3">
      <c r="A12" s="3"/>
    </row>
    <row r="13" spans="1:10" x14ac:dyDescent="0.3">
      <c r="A13" s="3"/>
    </row>
    <row r="14" spans="1:10" x14ac:dyDescent="0.3">
      <c r="A14" s="3"/>
    </row>
    <row r="15" spans="1:10" x14ac:dyDescent="0.3">
      <c r="A15" s="3"/>
    </row>
    <row r="16" spans="1:10" x14ac:dyDescent="0.3">
      <c r="A16" s="3"/>
    </row>
    <row r="17" spans="1:1" x14ac:dyDescent="0.3">
      <c r="A17" s="3"/>
    </row>
    <row r="18" spans="1:1" x14ac:dyDescent="0.3">
      <c r="A18" s="3"/>
    </row>
    <row r="19" spans="1:1" x14ac:dyDescent="0.3">
      <c r="A19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E469F-FBB3-4F0E-A852-A8C4944018FB}">
  <dimension ref="A1:G7"/>
  <sheetViews>
    <sheetView zoomScale="108" workbookViewId="0">
      <selection activeCell="D3" sqref="D3"/>
    </sheetView>
  </sheetViews>
  <sheetFormatPr defaultRowHeight="14.4" x14ac:dyDescent="0.3"/>
  <cols>
    <col min="2" max="2" width="9.77734375" bestFit="1" customWidth="1"/>
    <col min="4" max="4" width="15" bestFit="1" customWidth="1"/>
    <col min="6" max="6" width="9.88671875" bestFit="1" customWidth="1"/>
  </cols>
  <sheetData>
    <row r="1" spans="1:7" x14ac:dyDescent="0.3">
      <c r="A1" s="1" t="s">
        <v>51</v>
      </c>
      <c r="B1" s="1" t="s">
        <v>52</v>
      </c>
      <c r="D1" s="1" t="s">
        <v>53</v>
      </c>
      <c r="F1" s="1" t="s">
        <v>54</v>
      </c>
    </row>
    <row r="2" spans="1:7" x14ac:dyDescent="0.3">
      <c r="A2">
        <v>1000</v>
      </c>
      <c r="B2">
        <v>12</v>
      </c>
      <c r="F2">
        <v>0.1</v>
      </c>
      <c r="G2">
        <f>D2*F2</f>
        <v>0</v>
      </c>
    </row>
    <row r="3" spans="1:7" x14ac:dyDescent="0.3">
      <c r="D3">
        <f>A2*B2</f>
        <v>12000</v>
      </c>
    </row>
    <row r="5" spans="1:7" x14ac:dyDescent="0.3">
      <c r="C5">
        <f>A2+100</f>
        <v>1100</v>
      </c>
    </row>
    <row r="7" spans="1:7" x14ac:dyDescent="0.3">
      <c r="A7">
        <f>A2*0.1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Sheet1</vt:lpstr>
      <vt:lpstr>Sheet2</vt:lpstr>
      <vt:lpstr>string functions</vt:lpstr>
      <vt:lpstr>DATE FUNCTIONS</vt:lpstr>
      <vt:lpstr>Sheet8</vt:lpstr>
      <vt:lpstr>STATITICAL FUNCTION</vt:lpstr>
      <vt:lpstr>CONDITIONAL FORMATTING</vt:lpstr>
      <vt:lpstr>Sheet5</vt:lpstr>
      <vt:lpstr>Sheet3</vt:lpstr>
      <vt:lpstr>Sheet4</vt:lpstr>
      <vt:lpstr>SALES_2025</vt:lpstr>
      <vt:lpstr>SALES_2026</vt:lpstr>
      <vt:lpstr>SALES_ID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2026-10-27T06:17:28Z</dcterms:created>
  <dcterms:modified xsi:type="dcterms:W3CDTF">2026-10-30T07:08:57Z</dcterms:modified>
</cp:coreProperties>
</file>